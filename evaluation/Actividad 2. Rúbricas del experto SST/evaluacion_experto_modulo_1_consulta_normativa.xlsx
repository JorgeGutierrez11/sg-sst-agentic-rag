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showInkAnnotation="0" autoCompressPictures="0"/>
  <xr:revisionPtr revIDLastSave="381" documentId="11_79A306D93ECF7549B9392C4D6AF59102FCB740AB" xr6:coauthVersionLast="47" xr6:coauthVersionMax="47" xr10:uidLastSave="{0F0F189E-DF60-4921-876C-2DF5D720F927}"/>
  <bookViews>
    <workbookView xWindow="0" yWindow="0" windowWidth="0" windowHeight="0" firstSheet="5" activeTab="5" xr2:uid="{00000000-000D-0000-FFFF-FFFF00000000}"/>
  </bookViews>
  <sheets>
    <sheet name="Guía y rúbrica" sheetId="1" r:id="rId1"/>
    <sheet name="CN-01" sheetId="2" r:id="rId2"/>
    <sheet name="CN-02" sheetId="3" r:id="rId3"/>
    <sheet name="CN-03" sheetId="4" r:id="rId4"/>
    <sheet name="CN-04" sheetId="5" r:id="rId5"/>
    <sheet name="Resumen" sheetId="6" r:id="rId6"/>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2" l="1" a="1"/>
  <c r="C32" i="5" a="1"/>
  <c r="C32" i="4" a="1"/>
  <c r="C32" i="3" a="1"/>
  <c r="C32" i="2" a="1"/>
  <c r="C31" i="2" a="1"/>
  <c r="C30" i="2" a="1"/>
  <c r="C29" i="2" a="1"/>
  <c r="C28" i="2" a="1"/>
  <c r="C30" i="5" a="1"/>
  <c r="C28" i="5" a="1"/>
  <c r="C29" i="5" a="1"/>
  <c r="C31" i="5" a="1"/>
  <c r="C27" i="5" a="1"/>
  <c r="C27" i="4" a="1"/>
  <c r="C28" i="4" a="1"/>
  <c r="C29" i="4" a="1"/>
  <c r="C30" i="4" a="1"/>
  <c r="C31" i="4" a="1"/>
  <c r="C27" i="3" a="1"/>
  <c r="C28" i="3" a="1"/>
  <c r="C29" i="3" a="1"/>
  <c r="C30" i="3" a="1"/>
  <c r="C31" i="3" a="1"/>
  <c r="B35" i="2"/>
  <c r="G10" i="6"/>
  <c r="F10" i="6"/>
  <c r="G9" i="6"/>
  <c r="F9" i="6"/>
  <c r="G8" i="6"/>
  <c r="F8" i="6"/>
  <c r="G7" i="6"/>
  <c r="F7" i="6"/>
  <c r="B35" i="5"/>
  <c r="B34" i="5"/>
  <c r="C10" i="6" s="1"/>
  <c r="B35" i="4"/>
  <c r="B34" i="4"/>
  <c r="C9" i="6" s="1"/>
  <c r="B35" i="3"/>
  <c r="B34" i="3"/>
  <c r="C8" i="6" s="1"/>
  <c r="B34" i="2"/>
  <c r="C7" i="6" s="1"/>
  <c r="D10" i="6" l="1"/>
  <c r="B36" i="5"/>
  <c r="E10" i="6" s="1"/>
  <c r="D9" i="6"/>
  <c r="B36" i="4"/>
  <c r="E9" i="6" s="1"/>
  <c r="D8" i="6"/>
  <c r="B36" i="3"/>
  <c r="E8" i="6" s="1"/>
  <c r="D7" i="6"/>
  <c r="B36" i="2"/>
  <c r="E7"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<sst xmlns="http://schemas.openxmlformats.org/spreadsheetml/2006/main" count="203" uniqueCount="118">
  <si>
    <t>VALIDACIÓN EXPERTA SG-SST  ·  MÓDULO 1 | CONSULTA NORMATIVA</t>
  </si>
  <si>
    <t>INSTRUCCIONES PARA EVALUAR</t>
  </si>
  <si>
    <t>1. Abrir cada hoja de caso y responder usando el prototipo web. El escenario y los datos están preparados por el equipo.</t>
  </si>
  <si>
    <t>2. Escribir en las celdas AMARILLAS: resultado observado, evidencia, calificaciones y observaciones.</t>
  </si>
  <si>
    <t>3. Calificar el Caso con cada criterio: 0, 1, 2, 3 o N/E (no evaluable). El Excel calcula el porcentaje.</t>
  </si>
  <si>
    <t>4. Marcar aparte cualquier error normativo crítico: un puntaje alto no equivale a validez normativa.</t>
  </si>
  <si>
    <t>5. Al terminar, la hoja "Resumen" mostrará los resultados registrados, sin reemplazar el juicio del experto.</t>
  </si>
  <si>
    <t>ALCANCE DEL MÓDULO 1: el experto realizará consultas normativas y revisará la pertinencia de las respuestas, sus fundamentos y el comportamiento ante seguimiento o falta de información.</t>
  </si>
  <si>
    <t>ESCALA DE VALORACIÓN</t>
  </si>
  <si>
    <t>0</t>
  </si>
  <si>
    <t>Incorrecto / incumple el criterio</t>
  </si>
  <si>
    <t>1</t>
  </si>
  <si>
    <t>Deficiencias importantes</t>
  </si>
  <si>
    <t>2</t>
  </si>
  <si>
    <t>Adecuado, con deficiencias menores</t>
  </si>
  <si>
    <t>3</t>
  </si>
  <si>
    <t>Correcto y completo</t>
  </si>
  <si>
    <t>N/E</t>
  </si>
  <si>
    <t>No evaluable en este caso; se excluye del máximo</t>
  </si>
  <si>
    <t>RÚBRICA — DESCRIPCIÓN DE CADA NIVEL</t>
  </si>
  <si>
    <t>Criterio</t>
  </si>
  <si>
    <t>Incorrecto | 0</t>
  </si>
  <si>
    <t>Deficiencias graves  | 1</t>
  </si>
  <si>
    <t>Deficiencias menores | 2</t>
  </si>
  <si>
    <t>Correcto | 3</t>
  </si>
  <si>
    <t>Resolución del escenario</t>
  </si>
  <si>
    <t>No resuelve el objetivo del caso.</t>
  </si>
  <si>
    <t>Resuelve solo una parte menor o falla en pasos esenciales.</t>
  </si>
  <si>
    <t>Resuelve el objetivo con omisiones menores.</t>
  </si>
  <si>
    <t>Resuelve todos los pasos y el objetivo esperado del caso.</t>
  </si>
  <si>
    <t>Exactitud normativa</t>
  </si>
  <si>
    <t>El resultado del caso contradice la normativa.</t>
  </si>
  <si>
    <t>Contiene errores normativos importantes.</t>
  </si>
  <si>
    <t>Es esencialmente correcto, con imprecisiones menores.</t>
  </si>
  <si>
    <t>Las conclusiones del caso son normativamente correctas.</t>
  </si>
  <si>
    <t>Pertinencia y aplicabilidad</t>
  </si>
  <si>
    <t>Aplica requisitos ajenos al escenario.</t>
  </si>
  <si>
    <t>Omite requisitos esenciales o interpreta mal el perfil.</t>
  </si>
  <si>
    <t>Aplica correctamente los requisitos principales, con omisiones menores.</t>
  </si>
  <si>
    <t>Aplica correctamente la normativa al perfil y las condiciones del caso.</t>
  </si>
  <si>
    <t>Sustento y trazabilidad</t>
  </si>
  <si>
    <t>No existe sustento verificable para las conclusiones.</t>
  </si>
  <si>
    <t>El sustento es insuficiente o contiene referencias erróneas importantes.</t>
  </si>
  <si>
    <t>La mayoría de las conclusiones tiene soporte adecuado.</t>
  </si>
  <si>
    <t>Las conclusiones relevantes se sustentan en referencias pertinentes y verificables.</t>
  </si>
  <si>
    <t>Continuidad y coherencia del flujo</t>
  </si>
  <si>
    <t>Pierde información esencial o se contradice entre pasos.</t>
  </si>
  <si>
    <t>Presenta inconsistencias importantes durante el caso.</t>
  </si>
  <si>
    <t>Mantiene el flujo con inconsistencias menores.</t>
  </si>
  <si>
    <t>Conserva correctamente los datos y responde coherentemente a lo largo del caso.</t>
  </si>
  <si>
    <t>Manejo de incertidumbre y límites</t>
  </si>
  <si>
    <t>Inventa conclusiones ante información insuficiente o fuera de alcance.</t>
  </si>
  <si>
    <t>Reconoce parcialmente los límites, pero emite conclusiones injustificadas.</t>
  </si>
  <si>
    <t>Maneja la incertidumbre con deficiencias menores.</t>
  </si>
  <si>
    <t>Solicita aclaraciones o limita la respuesta correctamente cuando corresponde.</t>
  </si>
  <si>
    <t>CN-01 — Consulta normativa contextualizada: COPASST</t>
  </si>
  <si>
    <t>AZUL = preparado por el equipo   |   AMARILLO = completa el experto   |   Puntuación automática</t>
  </si>
  <si>
    <t>1 · CASO DE ESTUDIO</t>
  </si>
  <si>
    <t>Objetivo del caso</t>
  </si>
  <si>
    <t>Comprobar que el agente responde consultas normativas considerando las características de una empresa y los requisitos legales aplicables.</t>
  </si>
  <si>
    <t>Contexto del caso</t>
  </si>
  <si>
    <t>El representante de una empresa de servicios administrativos desea conocer sus obligaciones relacionadas con la conformación y funcionamiento del Comité Paritario de Seguridad y Salud en el Trabajo (COPASST). Desconoce si su empresa está obligada a conformarlo, cómo se eligen sus integrantes y qué responsabilidades tiene el empleador.</t>
  </si>
  <si>
    <t>Perfil empresarial</t>
  </si>
  <si>
    <t>Empresa ficticia clasificada en riesgo I. Actividad económica: servicios administrativos. Número de trabajadores: 12</t>
  </si>
  <si>
    <t>Preguntas del EXPERTO dirigidas al sistema</t>
  </si>
  <si>
    <t>¿Mi empresa debe conformar un COPASST?</t>
  </si>
  <si>
    <t>¿Cuántos representantes debe tener?</t>
  </si>
  <si>
    <t>¿Cada cuánto se renuevan sus integrantes?</t>
  </si>
  <si>
    <t>¿Cuánto tiempo debe destinar la empresa al funcionamiento del comité?</t>
  </si>
  <si>
    <t>2 · REGISTRO DEL EXPERTO</t>
  </si>
  <si>
    <t>Evaluación de las respuestas del agente</t>
  </si>
  <si>
    <t>Evidencia o referencia revisada</t>
  </si>
  <si>
    <t>3 · CALIFICACIÓN DEL CASO (SELECCIONE DE 0 A 3 O N/E)</t>
  </si>
  <si>
    <t>Puntaje</t>
  </si>
  <si>
    <t>Para saber qué significa cada puntuación, consulte la “Guía y rúbrica” o elija un puntaje para ver su descripción</t>
  </si>
  <si>
    <t>Puntos obtenidos</t>
  </si>
  <si>
    <t>El porcentaje se calcula solo con criterios valorados (0–3). N/E queda excluido. Un puntaje alto no elimina un fallo normativo grave.</t>
  </si>
  <si>
    <t>Máximo aplicable</t>
  </si>
  <si>
    <t>Porcentaje del caso</t>
  </si>
  <si>
    <t>Resultado del caso</t>
  </si>
  <si>
    <t>¿Error normativo crítico?</t>
  </si>
  <si>
    <t>Observaciones / recomendaciones</t>
  </si>
  <si>
    <t>CN-02 — Consulta con seguimiento: accidente de trabajo</t>
  </si>
  <si>
    <t>comprobar que el agente mantiene el contexto de una conversación y proporciona respuestas coherentes durante varias consultas relacionadas.</t>
  </si>
  <si>
    <t>El administrador de una empresa de servicios contables informa que uno de sus trabajadores sufrió un accidente durante su jornada laboral. Desconoce el procedimiento de reporte, las responsabilidades que tiene la empresa y las prestaciones a las que podría tener derecho el trabajador.
Decide utilizar el sistema para recibir orientación, realizando varias preguntas consecutivas sobre el mismo accidente.</t>
  </si>
  <si>
    <t>Empresa ficticia clasificada en riesgo I. Actividad económica: Servicios contables. Número de trabajadores: 8</t>
  </si>
  <si>
    <t>Un trabajador sufrió un accidente en la oficina. ¿Qué debo hacer?</t>
  </si>
  <si>
    <t>¿Ante quién debo reportarlo?</t>
  </si>
  <si>
    <t>¿La empresa debe investigar ese accidente?</t>
  </si>
  <si>
    <t>¿Qué prestaciones puede recibir el trabajador?</t>
  </si>
  <si>
    <t>Para saber qué significa cada puntuación, consulte «Guía y rúbrica».</t>
  </si>
  <si>
    <t>CN-03 — Consulta con información incompleta: estándares mínimos</t>
  </si>
  <si>
    <t>Comprobar que el agente identifica información faltante y evita establecer conclusiones normativas específicas sin conocer los datos necesarios.</t>
  </si>
  <si>
    <t>El representante de una empresa de servicios de asesoría empresarial desea conocer los estándares mínimos del SG-SST que debe cumplir.
Inicialmente consulta al agente sin indicar la cantidad de trabajadores de la empresa. Durante la interacción, podrá proporcionar esa información si el sistema la solicita o si resulta necesario para continuar.</t>
  </si>
  <si>
    <t>Empresa ficticia clasificada en riesgo I. Actividad económica: Servicios de asesoría empresarial. Número de trabajadores: 8</t>
  </si>
  <si>
    <t>Mi empresa es de riesgo I. ¿Qué estándares mínimos del SG-SST debo cumplir?</t>
  </si>
  <si>
    <t>Si el agente solicita el número de trabajadores, responder que tiene ocho.</t>
  </si>
  <si>
    <t>¿Cuáles son entonces mis principales obligaciones?</t>
  </si>
  <si>
    <t>CN-04 — Consulta con normativa modificada: acoso laboral</t>
  </si>
  <si>
    <t>Comprobar que el agente identifica y aplica correctamente disposiciones normativas que han sido modificadas o actualizadas, evitando fundamentar sus respuestas en requisitos desactualizados.</t>
  </si>
  <si>
    <t>El administrador de una empresa con dos centros de trabajo desea conocer sus obligaciones frente a una queja por presunto acoso laboral. También tiene dudas sobre la conformación de los Comités de Convivencia Laboral y los plazos establecidos por la legislación.</t>
  </si>
  <si>
    <t>Empresa ficticia clasificada en riesgo I. Actividad económica: servicios administrativos. Número de trabajadores: 30</t>
  </si>
  <si>
    <t>RESUMEN DE VALIDACIÓN · MÓDULO 1 | CONSULTA NORMATIVA</t>
  </si>
  <si>
    <t>Lectura automática de las hojas de caso. Los campos vacíos significan que el experto aún no ha calificado.</t>
  </si>
  <si>
    <t>Caso</t>
  </si>
  <si>
    <t>Escenario</t>
  </si>
  <si>
    <t>Obtenido</t>
  </si>
  <si>
    <t>Máximo</t>
  </si>
  <si>
    <t>Porcentaje</t>
  </si>
  <si>
    <t>Error crítico</t>
  </si>
  <si>
    <t>CN-01</t>
  </si>
  <si>
    <t>Consulta normativa contextualizada</t>
  </si>
  <si>
    <t>CN-02</t>
  </si>
  <si>
    <t>Consulta con seguimiento</t>
  </si>
  <si>
    <t>CN-03</t>
  </si>
  <si>
    <t>Consulta con información insuficiente</t>
  </si>
  <si>
    <t>CN-04</t>
  </si>
  <si>
    <t>Consulta con normativa modificada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</si>
</sst>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name val="Carlito"/>
    </font>
    <font>
      <b/>
      <sz val="11"/>
      <color rgb="FFFFFFFF"/>
      <name val="Carlito"/>
    </font>
    <font>
      <b/>
      <sz val="12"/>
      <color rgb="FFFFFFFF"/>
      <name val="Carlito"/>
    </font>
    <font>
      <sz val="10"/>
      <color rgb="FF203449"/>
      <name val="Carlito"/>
    </font>
    <font>
      <b/>
      <sz val="11"/>
      <name val="Carlito"/>
    </font>
    <font>
      <sz val="10"/>
      <name val="Carlito"/>
    </font>
    <font>
      <b/>
      <sz val="10"/>
      <color rgb="FFFFFFFF"/>
      <name val="Carlito"/>
    </font>
    <font>
      <sz val="9"/>
      <color rgb="FF53697B"/>
      <name val="Carlito"/>
    </font>
    <font>
      <b/>
      <sz val="10"/>
      <name val="Carlito"/>
    </font>
    <font>
      <b/>
      <sz val="9"/>
      <color rgb="FFFFFFFF"/>
      <name val="Carlito"/>
    </font>
    <font>
      <sz val="9"/>
      <color rgb="FF203449"/>
      <name val="Carlito"/>
    </font>
  </fonts>
  <fills count="12">
    <fill>
      <patternFill patternType="none"/>
    </fill>
    <fill>
      <patternFill patternType="gray125"/>
    </fill>
    <fill>
      <patternFill patternType="solid">
        <fgColor rgb="FF15334B"/>
      </patternFill>
    </fill>
    <fill>
      <patternFill patternType="solid">
        <fgColor rgb="FF176780"/>
      </patternFill>
    </fill>
    <fill>
      <patternFill patternType="solid">
        <fgColor rgb="FFF3F7FA"/>
      </patternFill>
    </fill>
    <fill>
      <patternFill patternType="solid">
        <fgColor rgb="FFFFFFFF"/>
      </patternFill>
    </fill>
    <fill>
      <patternFill patternType="solid">
        <fgColor rgb="FFE7F1F5"/>
      </patternFill>
    </fill>
    <fill>
      <patternFill patternType="solid">
        <fgColor rgb="FFFFF2C6"/>
      </patternFill>
    </fill>
    <fill>
      <patternFill patternType="solid">
        <fgColor rgb="FFDCEFE3"/>
      </patternFill>
    </fill>
    <fill>
      <patternFill patternType="solid">
        <fgColor theme="0" tint="-4.9989318521683403E-2"/>
        <bgColor indexed="64"/>
      </patternFill>
    </fill>
    <fill>
      <patternFill patternType="solid">
        <fgColor rgb="FFFFF2C6"/>
        <bgColor indexed="64"/>
      </patternFill>
    </fill>
    <fill>
      <patternFill patternType="solid">
        <fgColor rgb="FFF0E1B1"/>
        <bgColor indexed="64"/>
      </patternFill>
    </fill>
  </fills>
  <borders count="2">
    <border>
      <left/>
      <right/>
      <top/>
      <bottom/>
      <diagonal/>
    </border>
    <border>
      <left/>
      <right/>
      <top/>
      <bottom/>
      <diagonal/>
    </border>
  </borders>
  <cellStyleXfs count="1">
    <xf numFmtId="0" fontId="0" fillId="0" borderId="0"/>
  </cellStyleXfs>
  <cellXfs count="33">
    <xf numFmtId="0" fontId="0" fillId="0" borderId="0" xfId="0"/>
    <xf numFmtId="0" fontId="1" fillId="2" borderId="1" xfId="0" applyNumberFormat="1" applyFont="1" applyFill="1" applyBorder="1" applyAlignment="1">
      <alignment wrapText="1"/>
    </xf>
    <xf numFmtId="0" fontId="0" fillId="4" borderId="1" xfId="0" applyNumberFormat="1" applyFont="1" applyFill="1" applyBorder="1" applyAlignment="1">
      <alignment wrapText="1"/>
    </xf>
    <xf numFmtId="0" fontId="0" fillId="5" borderId="1" xfId="0" applyNumberFormat="1" applyFont="1" applyFill="1" applyBorder="1" applyAlignment="1">
      <alignment wrapText="1"/>
    </xf>
    <xf numFmtId="0" fontId="5" fillId="0" borderId="1" xfId="0" applyNumberFormat="1" applyFont="1" applyFill="1" applyBorder="1"/>
    <xf numFmtId="0" fontId="8" fillId="6" borderId="1" xfId="0" applyNumberFormat="1" applyFont="1" applyFill="1" applyBorder="1"/>
    <xf numFmtId="0" fontId="5" fillId="4" borderId="1" xfId="0" applyNumberFormat="1" applyFont="1" applyFill="1" applyBorder="1" applyAlignment="1">
      <alignment wrapText="1"/>
    </xf>
    <xf numFmtId="0" fontId="5" fillId="7" borderId="1" xfId="0" applyNumberFormat="1" applyFont="1" applyFill="1" applyBorder="1"/>
    <xf numFmtId="0" fontId="5" fillId="6" borderId="1" xfId="0" applyNumberFormat="1" applyFont="1" applyFill="1" applyBorder="1" applyAlignment="1">
      <alignment wrapText="1"/>
    </xf>
    <xf numFmtId="0" fontId="5" fillId="8" borderId="1" xfId="0" applyNumberFormat="1" applyFont="1" applyFill="1" applyBorder="1"/>
    <xf numFmtId="164" fontId="5" fillId="8" borderId="1" xfId="0" applyNumberFormat="1" applyFont="1" applyFill="1" applyBorder="1"/>
    <xf numFmtId="0" fontId="1" fillId="3" borderId="1" xfId="0" applyNumberFormat="1" applyFont="1" applyFill="1" applyBorder="1"/>
    <xf numFmtId="164" fontId="0" fillId="4" borderId="1" xfId="0" applyNumberFormat="1" applyFont="1" applyFill="1" applyBorder="1" applyAlignment="1">
      <alignment wrapText="1"/>
    </xf>
    <xf numFmtId="164" fontId="0" fillId="5" borderId="1" xfId="0" applyNumberFormat="1" applyFont="1" applyFill="1" applyBorder="1" applyAlignment="1">
      <alignment wrapText="1"/>
    </xf>
    <xf numFmtId="0" fontId="0" fillId="6" borderId="1" xfId="0" applyNumberFormat="1" applyFont="1" applyFill="1" applyBorder="1" applyAlignment="1">
      <alignment horizontal="center"/>
    </xf>
    <xf numFmtId="0" fontId="4" fillId="4" borderId="1" xfId="0" applyNumberFormat="1" applyFont="1" applyFill="1" applyBorder="1" applyAlignment="1">
      <alignment wrapText="1"/>
    </xf>
    <xf numFmtId="0" fontId="4" fillId="5" borderId="1" xfId="0" applyNumberFormat="1" applyFont="1" applyFill="1" applyBorder="1" applyAlignment="1">
      <alignment wrapText="1"/>
    </xf>
    <xf numFmtId="0" fontId="8" fillId="0" borderId="1" xfId="0" applyNumberFormat="1" applyFont="1" applyFill="1" applyBorder="1"/>
    <xf numFmtId="0" fontId="5" fillId="9" borderId="1" xfId="0" applyNumberFormat="1" applyFont="1" applyFill="1" applyBorder="1"/>
    <xf numFmtId="0" fontId="3" fillId="11" borderId="1" xfId="0" applyNumberFormat="1" applyFont="1" applyFill="1" applyBorder="1" applyAlignment="1">
      <alignment vertical="center" wrapText="1"/>
    </xf>
    <xf numFmtId="0" fontId="3" fillId="10" borderId="1" xfId="0" applyNumberFormat="1" applyFont="1" applyFill="1" applyBorder="1" applyAlignment="1">
      <alignment vertical="center" wrapText="1"/>
    </xf>
    <xf numFmtId="0" fontId="6" fillId="2" borderId="1" xfId="0" applyNumberFormat="1" applyFont="1" applyFill="1" applyBorder="1" applyAlignment="1">
      <alignment vertical="center"/>
    </xf>
    <xf numFmtId="0" fontId="2" fillId="2" borderId="1" xfId="0" applyNumberFormat="1" applyFont="1" applyFill="1" applyBorder="1" applyAlignment="1">
      <alignment vertical="center" wrapText="1"/>
    </xf>
    <xf numFmtId="0" fontId="3" fillId="6" borderId="1" xfId="0" applyNumberFormat="1" applyFont="1" applyFill="1" applyBorder="1" applyAlignment="1">
      <alignment vertical="center" wrapText="1"/>
    </xf>
    <xf numFmtId="0" fontId="2" fillId="2" borderId="1" xfId="0" applyNumberFormat="1" applyFont="1" applyFill="1" applyBorder="1" applyAlignment="1">
      <alignment horizontal="center" vertical="center" wrapText="1"/>
    </xf>
    <xf numFmtId="0" fontId="2" fillId="3" borderId="1" xfId="0" applyNumberFormat="1" applyFont="1" applyFill="1" applyBorder="1" applyAlignment="1">
      <alignment vertical="center" wrapText="1"/>
    </xf>
    <xf numFmtId="0" fontId="3" fillId="5" borderId="1" xfId="0" applyNumberFormat="1" applyFont="1" applyFill="1" applyBorder="1" applyAlignment="1">
      <alignment vertical="center" wrapText="1"/>
    </xf>
    <xf numFmtId="0" fontId="3" fillId="4" borderId="1" xfId="0" applyNumberFormat="1" applyFont="1" applyFill="1" applyBorder="1" applyAlignment="1">
      <alignment vertical="center" wrapText="1"/>
    </xf>
    <xf numFmtId="0" fontId="3" fillId="7" borderId="1" xfId="0" applyNumberFormat="1" applyFont="1" applyFill="1" applyBorder="1" applyAlignment="1">
      <alignment vertical="center" wrapText="1"/>
    </xf>
    <xf numFmtId="0" fontId="7" fillId="4" borderId="1" xfId="0" applyNumberFormat="1" applyFont="1" applyFill="1" applyBorder="1" applyAlignment="1">
      <alignment vertical="center" wrapText="1"/>
    </xf>
    <xf numFmtId="0" fontId="3" fillId="4" borderId="1" xfId="0" applyNumberFormat="1" applyFont="1" applyFill="1" applyBorder="1" applyAlignment="1">
      <alignment horizontal="left" vertical="center" wrapText="1"/>
    </xf>
    <xf numFmtId="0" fontId="9" fillId="2" borderId="1" xfId="0" applyNumberFormat="1" applyFont="1" applyFill="1" applyBorder="1" applyAlignment="1">
      <alignment vertical="center" wrapText="1"/>
    </xf>
    <xf numFmtId="0" fontId="10" fillId="4"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0E1B1"/>
      <color rgb="FFE8DCB3"/>
      <color rgb="FFD1C6A1"/>
      <color rgb="FFFFF2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workbookViewId="0">
      <pane ySplit="4" topLeftCell="A26" activePane="bottomLeft" state="frozen"/>
      <selection pane="bottomLeft" activeCell="C11" sqref="C11"/>
    </sheetView>
  </sheetViews>
  <sheetFormatPr defaultRowHeight="15"/>
  <cols>
    <col min="1" max="1" width="34" customWidth="1"/>
    <col min="2" max="5" width="39" customWidth="1"/>
  </cols>
  <sheetData>
    <row r="1" spans="1:5" ht="14.25">
      <c r="A1" s="24" t="s">
        <v>0</v>
      </c>
      <c r="B1" s="24"/>
      <c r="C1" s="24"/>
      <c r="D1" s="24"/>
      <c r="E1" s="24"/>
    </row>
    <row r="2" spans="1:5" ht="14.25">
      <c r="A2" s="24"/>
      <c r="B2" s="24"/>
      <c r="C2" s="24"/>
      <c r="D2" s="24"/>
      <c r="E2" s="24"/>
    </row>
    <row r="4" spans="1:5" ht="15.75">
      <c r="A4" s="25" t="s">
        <v>1</v>
      </c>
      <c r="B4" s="25"/>
      <c r="C4" s="25"/>
      <c r="D4" s="25"/>
      <c r="E4" s="25"/>
    </row>
    <row r="5" spans="1:5" ht="14.25"/>
    <row r="6" spans="1:5" ht="36.950000000000003" customHeight="1">
      <c r="A6" s="26" t="s">
        <v>2</v>
      </c>
      <c r="B6" s="26"/>
      <c r="C6" s="26"/>
      <c r="D6" s="26"/>
      <c r="E6" s="26"/>
    </row>
    <row r="7" spans="1:5" ht="36.950000000000003" customHeight="1">
      <c r="A7" s="27" t="s">
        <v>3</v>
      </c>
      <c r="B7" s="27"/>
      <c r="C7" s="27"/>
      <c r="D7" s="27"/>
      <c r="E7" s="27"/>
    </row>
    <row r="8" spans="1:5" ht="36.950000000000003" customHeight="1">
      <c r="A8" s="26" t="s">
        <v>4</v>
      </c>
      <c r="B8" s="26"/>
      <c r="C8" s="26"/>
      <c r="D8" s="26"/>
      <c r="E8" s="26"/>
    </row>
    <row r="9" spans="1:5" ht="36.950000000000003" customHeight="1">
      <c r="A9" s="27" t="s">
        <v>5</v>
      </c>
      <c r="B9" s="27"/>
      <c r="C9" s="27"/>
      <c r="D9" s="27"/>
      <c r="E9" s="27"/>
    </row>
    <row r="10" spans="1:5" ht="36.950000000000003" customHeight="1">
      <c r="A10" s="26" t="s">
        <v>6</v>
      </c>
      <c r="B10" s="26"/>
      <c r="C10" s="26"/>
      <c r="D10" s="26"/>
      <c r="E10" s="26"/>
    </row>
    <row r="12" spans="1:5" ht="42" customHeight="1">
      <c r="A12" s="23" t="s">
        <v>7</v>
      </c>
      <c r="B12" s="23"/>
      <c r="C12" s="23"/>
      <c r="D12" s="23"/>
      <c r="E12" s="23"/>
    </row>
    <row r="13" spans="1:5" ht="42" customHeight="1">
      <c r="A13" s="23"/>
      <c r="B13" s="23"/>
      <c r="C13" s="23"/>
      <c r="D13" s="23"/>
      <c r="E13" s="23"/>
    </row>
    <row r="15" spans="1:5">
      <c r="A15" s="25" t="s">
        <v>8</v>
      </c>
      <c r="B15" s="25"/>
      <c r="C15" s="25"/>
      <c r="D15" s="25"/>
      <c r="E15" s="25"/>
    </row>
    <row r="17" spans="1:5" ht="26.1" customHeight="1">
      <c r="A17" s="14" t="s">
        <v>9</v>
      </c>
      <c r="B17" s="26" t="s">
        <v>10</v>
      </c>
      <c r="C17" s="26"/>
      <c r="D17" s="26"/>
      <c r="E17" s="26"/>
    </row>
    <row r="18" spans="1:5" ht="26.1" customHeight="1">
      <c r="A18" s="14" t="s">
        <v>11</v>
      </c>
      <c r="B18" s="26" t="s">
        <v>12</v>
      </c>
      <c r="C18" s="26"/>
      <c r="D18" s="26"/>
      <c r="E18" s="26"/>
    </row>
    <row r="19" spans="1:5" ht="26.1" customHeight="1">
      <c r="A19" s="14" t="s">
        <v>13</v>
      </c>
      <c r="B19" s="26" t="s">
        <v>14</v>
      </c>
      <c r="C19" s="26"/>
      <c r="D19" s="26"/>
      <c r="E19" s="26"/>
    </row>
    <row r="20" spans="1:5" ht="26.1" customHeight="1">
      <c r="A20" s="14" t="s">
        <v>15</v>
      </c>
      <c r="B20" s="26" t="s">
        <v>16</v>
      </c>
      <c r="C20" s="26"/>
      <c r="D20" s="26"/>
      <c r="E20" s="26"/>
    </row>
    <row r="21" spans="1:5" ht="26.1" customHeight="1">
      <c r="A21" s="14" t="s">
        <v>17</v>
      </c>
      <c r="B21" s="26" t="s">
        <v>18</v>
      </c>
      <c r="C21" s="26"/>
      <c r="D21" s="26"/>
      <c r="E21" s="26"/>
    </row>
    <row r="24" spans="1:5">
      <c r="A24" s="25" t="s">
        <v>19</v>
      </c>
      <c r="B24" s="25"/>
      <c r="C24" s="25"/>
      <c r="D24" s="25"/>
      <c r="E24" s="25"/>
    </row>
    <row r="25" spans="1:5" ht="36.950000000000003" customHeight="1">
      <c r="A25" s="1" t="s">
        <v>20</v>
      </c>
      <c r="B25" s="1" t="s">
        <v>21</v>
      </c>
      <c r="C25" s="1" t="s">
        <v>22</v>
      </c>
      <c r="D25" s="1" t="s">
        <v>23</v>
      </c>
      <c r="E25" s="1" t="s">
        <v>24</v>
      </c>
    </row>
    <row r="26" spans="1:5" ht="44.25" customHeight="1">
      <c r="A26" s="15" t="s">
        <v>25</v>
      </c>
      <c r="B26" s="2" t="s">
        <v>26</v>
      </c>
      <c r="C26" s="2" t="s">
        <v>27</v>
      </c>
      <c r="D26" s="2" t="s">
        <v>28</v>
      </c>
      <c r="E26" s="2" t="s">
        <v>29</v>
      </c>
    </row>
    <row r="27" spans="1:5" ht="50.25" customHeight="1">
      <c r="A27" s="16" t="s">
        <v>30</v>
      </c>
      <c r="B27" s="3" t="s">
        <v>31</v>
      </c>
      <c r="C27" s="3" t="s">
        <v>32</v>
      </c>
      <c r="D27" s="3" t="s">
        <v>33</v>
      </c>
      <c r="E27" s="3" t="s">
        <v>34</v>
      </c>
    </row>
    <row r="28" spans="1:5" ht="53.25" customHeight="1">
      <c r="A28" s="15" t="s">
        <v>35</v>
      </c>
      <c r="B28" s="2" t="s">
        <v>36</v>
      </c>
      <c r="C28" s="2" t="s">
        <v>37</v>
      </c>
      <c r="D28" s="2" t="s">
        <v>38</v>
      </c>
      <c r="E28" s="2" t="s">
        <v>39</v>
      </c>
    </row>
    <row r="29" spans="1:5" ht="43.5" customHeight="1">
      <c r="A29" s="16" t="s">
        <v>40</v>
      </c>
      <c r="B29" s="3" t="s">
        <v>41</v>
      </c>
      <c r="C29" s="3" t="s">
        <v>42</v>
      </c>
      <c r="D29" s="3" t="s">
        <v>43</v>
      </c>
      <c r="E29" s="3" t="s">
        <v>44</v>
      </c>
    </row>
    <row r="30" spans="1:5" ht="45" customHeight="1">
      <c r="A30" s="15" t="s">
        <v>45</v>
      </c>
      <c r="B30" s="2" t="s">
        <v>46</v>
      </c>
      <c r="C30" s="2" t="s">
        <v>47</v>
      </c>
      <c r="D30" s="2" t="s">
        <v>48</v>
      </c>
      <c r="E30" s="2" t="s">
        <v>49</v>
      </c>
    </row>
    <row r="31" spans="1:5" ht="49.5" customHeight="1">
      <c r="A31" s="16" t="s">
        <v>50</v>
      </c>
      <c r="B31" s="3" t="s">
        <v>51</v>
      </c>
      <c r="C31" s="3" t="s">
        <v>52</v>
      </c>
      <c r="D31" s="3" t="s">
        <v>53</v>
      </c>
      <c r="E31" s="3" t="s">
        <v>54</v>
      </c>
    </row>
    <row r="32" spans="1:5" ht="14.25"/>
    <row r="33" ht="14.25"/>
    <row r="35" ht="14.25"/>
  </sheetData>
  <mergeCells count="15">
    <mergeCell ref="A9:E9"/>
    <mergeCell ref="A10:E10"/>
    <mergeCell ref="A12:E13"/>
    <mergeCell ref="A15:E15"/>
    <mergeCell ref="A24:E24"/>
    <mergeCell ref="B17:E17"/>
    <mergeCell ref="B18:E18"/>
    <mergeCell ref="B19:E19"/>
    <mergeCell ref="B20:E20"/>
    <mergeCell ref="B21:E21"/>
    <mergeCell ref="A1:E2"/>
    <mergeCell ref="A4:E4"/>
    <mergeCell ref="A6:E6"/>
    <mergeCell ref="A7:E7"/>
    <mergeCell ref="A8: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workbookViewId="0">
      <pane ySplit="3" topLeftCell="A10" activePane="bottomLeft" state="frozen"/>
      <selection pane="bottomLeft" activeCell="C27" sqref="C27:F27"/>
    </sheetView>
  </sheetViews>
  <sheetFormatPr defaultRowHeight="15"/>
  <cols>
    <col min="1" max="1" width="36" customWidth="1"/>
    <col min="2" max="2" width="17" customWidth="1"/>
    <col min="3" max="6" width="18" customWidth="1"/>
  </cols>
  <sheetData>
    <row r="1" spans="1:6" ht="14.25">
      <c r="A1" s="22" t="s">
        <v>55</v>
      </c>
      <c r="B1" s="22"/>
      <c r="C1" s="22"/>
      <c r="D1" s="22"/>
      <c r="E1" s="22"/>
      <c r="F1" s="22"/>
    </row>
    <row r="2" spans="1:6">
      <c r="A2" s="22"/>
      <c r="B2" s="22"/>
      <c r="C2" s="22"/>
      <c r="D2" s="22"/>
      <c r="E2" s="22"/>
      <c r="F2" s="22"/>
    </row>
    <row r="3" spans="1:6" ht="29.1" customHeight="1">
      <c r="A3" s="29" t="s">
        <v>56</v>
      </c>
      <c r="B3" s="29"/>
      <c r="C3" s="29"/>
      <c r="D3" s="29"/>
      <c r="E3" s="29"/>
      <c r="F3" s="29"/>
    </row>
    <row r="4" spans="1:6">
      <c r="A4" s="4"/>
      <c r="B4" s="4"/>
      <c r="C4" s="4"/>
      <c r="D4" s="4"/>
      <c r="E4" s="4"/>
      <c r="F4" s="4"/>
    </row>
    <row r="5" spans="1:6" ht="15.75">
      <c r="A5" s="25" t="s">
        <v>57</v>
      </c>
      <c r="B5" s="25"/>
      <c r="C5" s="25"/>
      <c r="D5" s="25"/>
      <c r="E5" s="25"/>
      <c r="F5" s="25"/>
    </row>
    <row r="6" spans="1:6" ht="14.25">
      <c r="A6" s="4"/>
      <c r="B6" s="4"/>
      <c r="C6" s="4"/>
      <c r="D6" s="4"/>
      <c r="E6" s="4"/>
      <c r="F6" s="4"/>
    </row>
    <row r="7" spans="1:6" ht="33" customHeight="1">
      <c r="A7" s="5" t="s">
        <v>58</v>
      </c>
      <c r="B7" s="30" t="s">
        <v>59</v>
      </c>
      <c r="C7" s="30"/>
      <c r="D7" s="30"/>
      <c r="E7" s="30"/>
      <c r="F7" s="30"/>
    </row>
    <row r="8" spans="1:6" ht="65.25" customHeight="1">
      <c r="A8" s="17" t="s">
        <v>60</v>
      </c>
      <c r="B8" s="30" t="s">
        <v>61</v>
      </c>
      <c r="C8" s="30"/>
      <c r="D8" s="30"/>
      <c r="E8" s="30"/>
      <c r="F8" s="30"/>
    </row>
    <row r="9" spans="1:6" ht="35.1" customHeight="1">
      <c r="A9" s="5" t="s">
        <v>62</v>
      </c>
      <c r="B9" s="27" t="s">
        <v>63</v>
      </c>
      <c r="C9" s="27"/>
      <c r="D9" s="27"/>
      <c r="E9" s="27"/>
      <c r="F9" s="27"/>
    </row>
    <row r="10" spans="1:6" ht="35.1" customHeight="1">
      <c r="A10" s="4"/>
      <c r="B10" s="27"/>
      <c r="C10" s="27"/>
      <c r="D10" s="27"/>
      <c r="E10" s="27"/>
      <c r="F10" s="27"/>
    </row>
    <row r="11" spans="1:6" ht="14.25">
      <c r="A11" s="18"/>
      <c r="B11" s="18"/>
      <c r="C11" s="18"/>
      <c r="D11" s="18"/>
      <c r="E11" s="18"/>
      <c r="F11" s="18"/>
    </row>
    <row r="12" spans="1:6" ht="56.1" customHeight="1">
      <c r="A12" s="5" t="s">
        <v>64</v>
      </c>
      <c r="B12" s="19" t="s">
        <v>65</v>
      </c>
      <c r="C12" s="20" t="s">
        <v>66</v>
      </c>
      <c r="D12" s="19" t="s">
        <v>67</v>
      </c>
      <c r="E12" s="20" t="s">
        <v>68</v>
      </c>
      <c r="F12" s="19"/>
    </row>
    <row r="13" spans="1:6" ht="56.1" customHeight="1">
      <c r="A13" s="4"/>
      <c r="B13" s="20"/>
      <c r="C13" s="19"/>
      <c r="D13" s="20"/>
      <c r="E13" s="19"/>
      <c r="F13" s="20"/>
    </row>
    <row r="14" spans="1:6" ht="14.25">
      <c r="A14" s="18"/>
      <c r="B14" s="18"/>
      <c r="C14" s="18"/>
      <c r="D14" s="18"/>
      <c r="E14" s="18"/>
      <c r="F14" s="18"/>
    </row>
    <row r="15" spans="1:6" ht="14.25">
      <c r="A15" s="4"/>
      <c r="B15" s="4"/>
      <c r="C15" s="4"/>
      <c r="D15" s="4"/>
      <c r="E15" s="4"/>
      <c r="F15" s="4"/>
    </row>
    <row r="16" spans="1:6">
      <c r="A16" s="25" t="s">
        <v>69</v>
      </c>
      <c r="B16" s="25"/>
      <c r="C16" s="25"/>
      <c r="D16" s="25"/>
      <c r="E16" s="25"/>
      <c r="F16" s="25"/>
    </row>
    <row r="17" spans="1:6">
      <c r="A17" s="4"/>
      <c r="B17" s="4"/>
      <c r="C17" s="4"/>
      <c r="D17" s="4"/>
      <c r="E17" s="4"/>
      <c r="F17" s="4"/>
    </row>
    <row r="18" spans="1:6" ht="54" customHeight="1">
      <c r="A18" s="5" t="s">
        <v>70</v>
      </c>
      <c r="B18" s="28"/>
      <c r="C18" s="28"/>
      <c r="D18" s="28"/>
      <c r="E18" s="28"/>
      <c r="F18" s="28"/>
    </row>
    <row r="19" spans="1:6" ht="54" customHeight="1">
      <c r="A19" s="4"/>
      <c r="B19" s="28"/>
      <c r="C19" s="28"/>
      <c r="D19" s="28"/>
      <c r="E19" s="28"/>
      <c r="F19" s="28"/>
    </row>
    <row r="20" spans="1:6" ht="54" customHeight="1">
      <c r="A20" s="4"/>
      <c r="B20" s="28"/>
      <c r="C20" s="28"/>
      <c r="D20" s="28"/>
      <c r="E20" s="28"/>
      <c r="F20" s="28"/>
    </row>
    <row r="21" spans="1:6" ht="45" customHeight="1">
      <c r="A21" s="5" t="s">
        <v>71</v>
      </c>
      <c r="B21" s="28"/>
      <c r="C21" s="28"/>
      <c r="D21" s="28"/>
      <c r="E21" s="28"/>
      <c r="F21" s="28"/>
    </row>
    <row r="22" spans="1:6" ht="45" customHeight="1">
      <c r="A22" s="4"/>
      <c r="B22" s="28"/>
      <c r="C22" s="28"/>
      <c r="D22" s="28"/>
      <c r="E22" s="28"/>
      <c r="F22" s="28"/>
    </row>
    <row r="23" spans="1:6" ht="45" customHeight="1">
      <c r="A23" s="4"/>
      <c r="B23" s="28"/>
      <c r="C23" s="28"/>
      <c r="D23" s="28"/>
      <c r="E23" s="28"/>
      <c r="F23" s="28"/>
    </row>
    <row r="24" spans="1:6">
      <c r="A24" s="4"/>
      <c r="B24" s="4"/>
      <c r="C24" s="4"/>
      <c r="D24" s="4"/>
      <c r="E24" s="4"/>
      <c r="F24" s="4"/>
    </row>
    <row r="25" spans="1:6">
      <c r="A25" s="25" t="s">
        <v>72</v>
      </c>
      <c r="B25" s="25"/>
      <c r="C25" s="25"/>
      <c r="D25" s="25"/>
      <c r="E25" s="25"/>
      <c r="F25" s="25"/>
    </row>
    <row r="26" spans="1:6" ht="29.1" customHeight="1">
      <c r="A26" s="21" t="s">
        <v>20</v>
      </c>
      <c r="B26" s="21" t="s">
        <v>73</v>
      </c>
      <c r="C26" s="31" t="s">
        <v>74</v>
      </c>
      <c r="D26" s="31"/>
      <c r="E26" s="31"/>
      <c r="F26" s="31"/>
    </row>
    <row r="27" spans="1:6" ht="56.1" customHeight="1">
      <c r="A27" s="6" t="s">
        <v>25</v>
      </c>
      <c r="B27" s="7"/>
      <c r="C27" s="32" t="str" cm="1">
        <f t="array" ref="C27">IF(B27="","Esperando Puntación...",_xlfn.IFS(B27=0,'Guía y rúbrica'!B26,B27=1,'Guía y rúbrica'!C26,B27=2,'Guía y rúbrica'!D26,B27=3,'Guía y rúbrica'!E26,B27="N/E","No evaluable"))</f>
        <v>Esperando Puntación...</v>
      </c>
      <c r="D27" s="32"/>
      <c r="E27" s="32"/>
      <c r="F27" s="32"/>
    </row>
    <row r="28" spans="1:6" ht="56.1" customHeight="1">
      <c r="A28" s="8" t="s">
        <v>30</v>
      </c>
      <c r="B28" s="7"/>
      <c r="C28" s="32" t="str" cm="1">
        <f t="array" ref="C28">IF(B28="","Esperando Puntación...",_xlfn.IFS(B28=0,'Guía y rúbrica'!B27,B28=1,'Guía y rúbrica'!C27,B28=2,'Guía y rúbrica'!D27,B28=3,'Guía y rúbrica'!E27,B28="N/E","No evaluable"))</f>
        <v>Esperando Puntación...</v>
      </c>
      <c r="D28" s="32"/>
      <c r="E28" s="32"/>
      <c r="F28" s="32"/>
    </row>
    <row r="29" spans="1:6" ht="56.1" customHeight="1">
      <c r="A29" s="6" t="s">
        <v>35</v>
      </c>
      <c r="B29" s="7"/>
      <c r="C29" s="32" t="str" cm="1">
        <f t="array" ref="C29">IF(B29="","Esperando Puntación...",_xlfn.IFS(B29=0,'Guía y rúbrica'!B28,B29=1,'Guía y rúbrica'!C28,B29=2,'Guía y rúbrica'!D28,B29=3,'Guía y rúbrica'!E28,B29="N/E","No evaluable"))</f>
        <v>Esperando Puntación...</v>
      </c>
      <c r="D29" s="32"/>
      <c r="E29" s="32"/>
      <c r="F29" s="32"/>
    </row>
    <row r="30" spans="1:6" ht="56.1" customHeight="1">
      <c r="A30" s="8" t="s">
        <v>40</v>
      </c>
      <c r="B30" s="7"/>
      <c r="C30" s="32" t="str" cm="1">
        <f t="array" ref="C30">IF(B30="","Esperando Puntación...",_xlfn.IFS(B30=0,'Guía y rúbrica'!B29,B30=1,'Guía y rúbrica'!C29,B30=2,'Guía y rúbrica'!D29,B30=3,'Guía y rúbrica'!E29,B30="N/E","No evaluable"))</f>
        <v>Esperando Puntación...</v>
      </c>
      <c r="D30" s="32"/>
      <c r="E30" s="32"/>
      <c r="F30" s="32"/>
    </row>
    <row r="31" spans="1:6" ht="56.1" customHeight="1">
      <c r="A31" s="6" t="s">
        <v>45</v>
      </c>
      <c r="B31" s="7"/>
      <c r="C31" s="32" t="str" cm="1">
        <f t="array" ref="C31">IF(B31="","Esperando Puntación...",_xlfn.IFS(B31=0,'Guía y rúbrica'!B30,B31=1,'Guía y rúbrica'!C30,B31=2,'Guía y rúbrica'!D30,B31=3,'Guía y rúbrica'!E30,B31="N/E","No evaluable"))</f>
        <v>Esperando Puntación...</v>
      </c>
      <c r="D31" s="32"/>
      <c r="E31" s="32"/>
      <c r="F31" s="32"/>
    </row>
    <row r="32" spans="1:6" ht="56.1" customHeight="1">
      <c r="A32" s="8" t="s">
        <v>50</v>
      </c>
      <c r="B32" s="7"/>
      <c r="C32" s="32" t="str" cm="1">
        <f t="array" ref="C32">IF(B32="","Esperando Puntación...",_xlfn.IFS(B32=0,'Guía y rúbrica'!B31,B32=1,'Guía y rúbrica'!C31,B32=2,'Guía y rúbrica'!D31,B32=3,'Guía y rúbrica'!E31,B32="N/E","No evaluable"))</f>
        <v>Esperando Puntación...</v>
      </c>
      <c r="D32" s="32"/>
      <c r="E32" s="32"/>
      <c r="F32" s="32"/>
    </row>
    <row r="33" spans="1:6" ht="14.25">
      <c r="A33" s="4"/>
      <c r="B33" s="4"/>
      <c r="C33" s="4"/>
      <c r="D33" s="4"/>
      <c r="E33" s="4"/>
      <c r="F33" s="4"/>
    </row>
    <row r="34" spans="1:6" ht="24.95" customHeight="1">
      <c r="A34" s="5" t="s">
        <v>75</v>
      </c>
      <c r="B34" s="9" t="str">
        <f>IF(COUNT(B27:B32)=0,"",SUM(B27:B32))</f>
        <v/>
      </c>
      <c r="C34" s="32" t="s">
        <v>76</v>
      </c>
      <c r="D34" s="32"/>
      <c r="E34" s="32"/>
      <c r="F34" s="32"/>
    </row>
    <row r="35" spans="1:6" ht="24.95" customHeight="1">
      <c r="A35" s="5" t="s">
        <v>77</v>
      </c>
      <c r="B35" s="9" t="str">
        <f>IF(COUNT(B27:B32)=0,"",3*COUNT(B27:B32))</f>
        <v/>
      </c>
      <c r="C35" s="32"/>
      <c r="D35" s="32"/>
      <c r="E35" s="32"/>
      <c r="F35" s="32"/>
    </row>
    <row r="36" spans="1:6" ht="24.95" customHeight="1">
      <c r="A36" s="5" t="s">
        <v>78</v>
      </c>
      <c r="B36" s="10" t="str">
        <f>IF(OR(B35="",B35=0),"",B34/B35)</f>
        <v/>
      </c>
      <c r="C36" s="32"/>
      <c r="D36" s="32"/>
      <c r="E36" s="32"/>
      <c r="F36" s="32"/>
    </row>
    <row r="37" spans="1:6">
      <c r="A37" s="4"/>
      <c r="B37" s="4"/>
      <c r="C37" s="4"/>
      <c r="D37" s="4"/>
      <c r="E37" s="4"/>
      <c r="F37" s="4"/>
    </row>
    <row r="38" spans="1:6" ht="30.95" customHeight="1">
      <c r="A38" s="5" t="s">
        <v>79</v>
      </c>
      <c r="B38" s="28"/>
      <c r="C38" s="28"/>
      <c r="D38" s="28"/>
      <c r="E38" s="28"/>
      <c r="F38" s="28"/>
    </row>
    <row r="39" spans="1:6" ht="30.95" customHeight="1">
      <c r="A39" s="4"/>
      <c r="B39" s="28"/>
      <c r="C39" s="28"/>
      <c r="D39" s="28"/>
      <c r="E39" s="28"/>
      <c r="F39" s="28"/>
    </row>
    <row r="40" spans="1:6" ht="30.95" customHeight="1">
      <c r="A40" s="5" t="s">
        <v>80</v>
      </c>
      <c r="B40" s="28"/>
      <c r="C40" s="28"/>
      <c r="D40" s="28"/>
      <c r="E40" s="28"/>
      <c r="F40" s="28"/>
    </row>
    <row r="41" spans="1:6" ht="30.95" customHeight="1">
      <c r="A41" s="4"/>
      <c r="B41" s="28"/>
      <c r="C41" s="28"/>
      <c r="D41" s="28"/>
      <c r="E41" s="28"/>
      <c r="F41" s="28"/>
    </row>
    <row r="42" spans="1:6" ht="50.1" customHeight="1">
      <c r="A42" s="5" t="s">
        <v>81</v>
      </c>
      <c r="B42" s="28"/>
      <c r="C42" s="28"/>
      <c r="D42" s="28"/>
      <c r="E42" s="28"/>
      <c r="F42" s="28"/>
    </row>
    <row r="43" spans="1:6" ht="50.1" customHeight="1">
      <c r="A43" s="4"/>
      <c r="B43" s="28"/>
      <c r="C43" s="28"/>
      <c r="D43" s="28"/>
      <c r="E43" s="28"/>
      <c r="F43" s="28"/>
    </row>
    <row r="44" spans="1:6">
      <c r="A44" s="4"/>
      <c r="B44" s="4"/>
      <c r="C44" s="4"/>
      <c r="D44" s="4"/>
      <c r="E44" s="4"/>
      <c r="F44" s="4"/>
    </row>
    <row r="45" spans="1:6" ht="14.25"/>
    <row r="46" spans="1:6" ht="14.25"/>
    <row r="47" spans="1:6" ht="14.25"/>
    <row r="48" spans="1:6" ht="14.25"/>
  </sheetData>
  <mergeCells count="21">
    <mergeCell ref="B38:F39"/>
    <mergeCell ref="B40:F41"/>
    <mergeCell ref="B42:F43"/>
    <mergeCell ref="C29:F29"/>
    <mergeCell ref="C30:F30"/>
    <mergeCell ref="C31:F31"/>
    <mergeCell ref="C32:F32"/>
    <mergeCell ref="C34:F36"/>
    <mergeCell ref="B21:F23"/>
    <mergeCell ref="A25:F25"/>
    <mergeCell ref="C26:F26"/>
    <mergeCell ref="C27:F27"/>
    <mergeCell ref="C28:F28"/>
    <mergeCell ref="A16:F16"/>
    <mergeCell ref="B18:F20"/>
    <mergeCell ref="A1:F2"/>
    <mergeCell ref="A3:F3"/>
    <mergeCell ref="A5:F5"/>
    <mergeCell ref="B9:F10"/>
    <mergeCell ref="B8:F8"/>
    <mergeCell ref="B7:F7"/>
  </mergeCells>
  <dataValidations count="3">
    <dataValidation type="list" sqref="B27:B32" xr:uid="{00000000-0002-0000-0100-000000000000}">
      <formula1>"0,1,2,3,N/E"</formula1>
    </dataValidation>
    <dataValidation type="list" sqref="B38" xr:uid="{00000000-0002-0000-0100-000006000000}">
      <formula1>"Cumplido,Parcialmente cumplido,No cumplido,No evaluable"</formula1>
    </dataValidation>
    <dataValidation type="list" sqref="B40" xr:uid="{00000000-0002-0000-0100-000007000000}">
      <formula1>"Sí,No,Por determinar"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8"/>
  <sheetViews>
    <sheetView workbookViewId="0">
      <pane ySplit="3" topLeftCell="A20" activePane="bottomLeft" state="frozen"/>
      <selection pane="bottomLeft" activeCell="B26" sqref="A26:B26"/>
    </sheetView>
  </sheetViews>
  <sheetFormatPr defaultRowHeight="15"/>
  <cols>
    <col min="1" max="1" width="36" customWidth="1"/>
    <col min="2" max="2" width="17" customWidth="1"/>
    <col min="3" max="6" width="18" customWidth="1"/>
  </cols>
  <sheetData>
    <row r="1" spans="1:6" ht="14.25">
      <c r="A1" s="22" t="s">
        <v>82</v>
      </c>
      <c r="B1" s="22"/>
      <c r="C1" s="22"/>
      <c r="D1" s="22"/>
      <c r="E1" s="22"/>
      <c r="F1" s="22"/>
    </row>
    <row r="2" spans="1:6">
      <c r="A2" s="22"/>
      <c r="B2" s="22"/>
      <c r="C2" s="22"/>
      <c r="D2" s="22"/>
      <c r="E2" s="22"/>
      <c r="F2" s="22"/>
    </row>
    <row r="3" spans="1:6" ht="29.1" customHeight="1">
      <c r="A3" s="29" t="s">
        <v>56</v>
      </c>
      <c r="B3" s="29"/>
      <c r="C3" s="29"/>
      <c r="D3" s="29"/>
      <c r="E3" s="29"/>
      <c r="F3" s="29"/>
    </row>
    <row r="4" spans="1:6">
      <c r="A4" s="4"/>
      <c r="B4" s="4"/>
      <c r="C4" s="4"/>
      <c r="D4" s="4"/>
      <c r="E4" s="4"/>
      <c r="F4" s="4"/>
    </row>
    <row r="5" spans="1:6" ht="15.75">
      <c r="A5" s="25" t="s">
        <v>57</v>
      </c>
      <c r="B5" s="25"/>
      <c r="C5" s="25"/>
      <c r="D5" s="25"/>
      <c r="E5" s="25"/>
      <c r="F5" s="25"/>
    </row>
    <row r="6" spans="1:6" ht="14.25">
      <c r="A6" s="4"/>
      <c r="B6" s="4"/>
      <c r="C6" s="4"/>
      <c r="D6" s="4"/>
      <c r="E6" s="4"/>
      <c r="F6" s="4"/>
    </row>
    <row r="7" spans="1:6" ht="33" customHeight="1">
      <c r="A7" s="5" t="s">
        <v>58</v>
      </c>
      <c r="B7" s="30" t="s">
        <v>83</v>
      </c>
      <c r="C7" s="30"/>
      <c r="D7" s="30"/>
      <c r="E7" s="30"/>
      <c r="F7" s="30"/>
    </row>
    <row r="8" spans="1:6" ht="66" customHeight="1">
      <c r="A8" s="17" t="s">
        <v>60</v>
      </c>
      <c r="B8" s="27" t="s">
        <v>84</v>
      </c>
      <c r="C8" s="27"/>
      <c r="D8" s="27"/>
      <c r="E8" s="27"/>
      <c r="F8" s="27"/>
    </row>
    <row r="9" spans="1:6" ht="35.1" customHeight="1">
      <c r="A9" s="5" t="s">
        <v>62</v>
      </c>
      <c r="B9" s="27" t="s">
        <v>85</v>
      </c>
      <c r="C9" s="27"/>
      <c r="D9" s="27"/>
      <c r="E9" s="27"/>
      <c r="F9" s="27"/>
    </row>
    <row r="10" spans="1:6" ht="35.1" customHeight="1">
      <c r="A10" s="4"/>
      <c r="B10" s="27"/>
      <c r="C10" s="27"/>
      <c r="D10" s="27"/>
      <c r="E10" s="27"/>
      <c r="F10" s="27"/>
    </row>
    <row r="11" spans="1:6" ht="14.25">
      <c r="A11" s="18"/>
      <c r="B11" s="18"/>
      <c r="C11" s="18"/>
      <c r="D11" s="18"/>
      <c r="E11" s="18"/>
      <c r="F11" s="18"/>
    </row>
    <row r="12" spans="1:6" ht="56.1" customHeight="1">
      <c r="A12" s="5" t="s">
        <v>64</v>
      </c>
      <c r="B12" s="19" t="s">
        <v>86</v>
      </c>
      <c r="C12" s="20" t="s">
        <v>87</v>
      </c>
      <c r="D12" s="19" t="s">
        <v>88</v>
      </c>
      <c r="E12" s="20" t="s">
        <v>89</v>
      </c>
      <c r="F12" s="19"/>
    </row>
    <row r="13" spans="1:6" ht="56.1" customHeight="1">
      <c r="A13" s="4"/>
      <c r="B13" s="20"/>
      <c r="C13" s="19"/>
      <c r="D13" s="20"/>
      <c r="E13" s="19"/>
      <c r="F13" s="20"/>
    </row>
    <row r="14" spans="1:6" ht="14.25">
      <c r="A14" s="18"/>
      <c r="B14" s="18"/>
      <c r="C14" s="18"/>
      <c r="D14" s="18"/>
      <c r="E14" s="18"/>
      <c r="F14" s="18"/>
    </row>
    <row r="15" spans="1:6" ht="14.25">
      <c r="A15" s="4"/>
      <c r="B15" s="4"/>
      <c r="C15" s="4"/>
      <c r="D15" s="4"/>
      <c r="E15" s="4"/>
      <c r="F15" s="4"/>
    </row>
    <row r="16" spans="1:6">
      <c r="A16" s="25" t="s">
        <v>69</v>
      </c>
      <c r="B16" s="25"/>
      <c r="C16" s="25"/>
      <c r="D16" s="25"/>
      <c r="E16" s="25"/>
      <c r="F16" s="25"/>
    </row>
    <row r="17" spans="1:6">
      <c r="A17" s="4"/>
      <c r="B17" s="4"/>
      <c r="C17" s="4"/>
      <c r="D17" s="4"/>
      <c r="E17" s="4"/>
      <c r="F17" s="4"/>
    </row>
    <row r="18" spans="1:6" ht="54" customHeight="1">
      <c r="A18" s="5" t="s">
        <v>70</v>
      </c>
      <c r="B18" s="28"/>
      <c r="C18" s="28"/>
      <c r="D18" s="28"/>
      <c r="E18" s="28"/>
      <c r="F18" s="28"/>
    </row>
    <row r="19" spans="1:6" ht="54" customHeight="1">
      <c r="A19" s="4"/>
      <c r="B19" s="28"/>
      <c r="C19" s="28"/>
      <c r="D19" s="28"/>
      <c r="E19" s="28"/>
      <c r="F19" s="28"/>
    </row>
    <row r="20" spans="1:6" ht="54" customHeight="1">
      <c r="A20" s="4"/>
      <c r="B20" s="28"/>
      <c r="C20" s="28"/>
      <c r="D20" s="28"/>
      <c r="E20" s="28"/>
      <c r="F20" s="28"/>
    </row>
    <row r="21" spans="1:6" ht="45" customHeight="1">
      <c r="A21" s="5" t="s">
        <v>71</v>
      </c>
      <c r="B21" s="28"/>
      <c r="C21" s="28"/>
      <c r="D21" s="28"/>
      <c r="E21" s="28"/>
      <c r="F21" s="28"/>
    </row>
    <row r="22" spans="1:6" ht="45" customHeight="1">
      <c r="A22" s="4"/>
      <c r="B22" s="28"/>
      <c r="C22" s="28"/>
      <c r="D22" s="28"/>
      <c r="E22" s="28"/>
      <c r="F22" s="28"/>
    </row>
    <row r="23" spans="1:6" ht="45" customHeight="1">
      <c r="A23" s="4"/>
      <c r="B23" s="28"/>
      <c r="C23" s="28"/>
      <c r="D23" s="28"/>
      <c r="E23" s="28"/>
      <c r="F23" s="28"/>
    </row>
    <row r="24" spans="1:6">
      <c r="A24" s="4"/>
      <c r="B24" s="4"/>
      <c r="C24" s="4"/>
      <c r="D24" s="4"/>
      <c r="E24" s="4"/>
      <c r="F24" s="4"/>
    </row>
    <row r="25" spans="1:6">
      <c r="A25" s="25" t="s">
        <v>72</v>
      </c>
      <c r="B25" s="25"/>
      <c r="C25" s="25"/>
      <c r="D25" s="25"/>
      <c r="E25" s="25"/>
      <c r="F25" s="25"/>
    </row>
    <row r="26" spans="1:6" ht="29.1" customHeight="1">
      <c r="A26" s="21" t="s">
        <v>20</v>
      </c>
      <c r="B26" s="21" t="s">
        <v>73</v>
      </c>
      <c r="C26" s="31" t="s">
        <v>90</v>
      </c>
      <c r="D26" s="31"/>
      <c r="E26" s="31"/>
      <c r="F26" s="31"/>
    </row>
    <row r="27" spans="1:6" ht="56.1" customHeight="1">
      <c r="A27" s="6" t="s">
        <v>25</v>
      </c>
      <c r="B27" s="7"/>
      <c r="C27" s="32" t="str" cm="1">
        <f t="array" ref="C27">IF(B27="","Esperando Puntación...",_xlfn.IFS(B27=0,'Guía y rúbrica'!B26,B27=1,'Guía y rúbrica'!C26,B27=2,'Guía y rúbrica'!D26,B27=3,'Guía y rúbrica'!E26,B27="N/E","No evaluable"))</f>
        <v>Esperando Puntación...</v>
      </c>
      <c r="D27" s="32"/>
      <c r="E27" s="32"/>
      <c r="F27" s="32"/>
    </row>
    <row r="28" spans="1:6" ht="56.1" customHeight="1">
      <c r="A28" s="8" t="s">
        <v>30</v>
      </c>
      <c r="B28" s="7"/>
      <c r="C28" s="32" t="str" cm="1">
        <f t="array" ref="C28">IF(B28="","Esperando Puntación...",_xlfn.IFS(B28=0,'Guía y rúbrica'!B27,B28=1,'Guía y rúbrica'!C27,B28=2,'Guía y rúbrica'!D27,B28=3,'Guía y rúbrica'!E27,B28="N/E","No evaluable"))</f>
        <v>Esperando Puntación...</v>
      </c>
      <c r="D28" s="32"/>
      <c r="E28" s="32"/>
      <c r="F28" s="32"/>
    </row>
    <row r="29" spans="1:6" ht="56.1" customHeight="1">
      <c r="A29" s="6" t="s">
        <v>35</v>
      </c>
      <c r="B29" s="7"/>
      <c r="C29" s="32" t="str" cm="1">
        <f t="array" ref="C29">IF(B29="","Esperando Puntación...",_xlfn.IFS(B29=0,'Guía y rúbrica'!B28,B29=1,'Guía y rúbrica'!C28,B29=2,'Guía y rúbrica'!D28,B29=3,'Guía y rúbrica'!E28,B29="N/E","No evaluable"))</f>
        <v>Esperando Puntación...</v>
      </c>
      <c r="D29" s="32"/>
      <c r="E29" s="32"/>
      <c r="F29" s="32"/>
    </row>
    <row r="30" spans="1:6" ht="56.1" customHeight="1">
      <c r="A30" s="8" t="s">
        <v>40</v>
      </c>
      <c r="B30" s="7"/>
      <c r="C30" s="32" t="str" cm="1">
        <f t="array" ref="C30">IF(B30="","Esperando Puntación...",_xlfn.IFS(B30=0,'Guía y rúbrica'!B29,B30=1,'Guía y rúbrica'!C29,B30=2,'Guía y rúbrica'!D29,B30=3,'Guía y rúbrica'!E29,B30="N/E","No evaluable"))</f>
        <v>Esperando Puntación...</v>
      </c>
      <c r="D30" s="32"/>
      <c r="E30" s="32"/>
      <c r="F30" s="32"/>
    </row>
    <row r="31" spans="1:6" ht="56.1" customHeight="1">
      <c r="A31" s="6" t="s">
        <v>45</v>
      </c>
      <c r="B31" s="7"/>
      <c r="C31" s="32" t="str" cm="1">
        <f t="array" ref="C31">IF(B31="","Esperando Puntación...",_xlfn.IFS(B31=0,'Guía y rúbrica'!B30,B31=1,'Guía y rúbrica'!C30,B31=2,'Guía y rúbrica'!D30,B31=3,'Guía y rúbrica'!E30,B31="N/E","No evaluable"))</f>
        <v>Esperando Puntación...</v>
      </c>
      <c r="D31" s="32"/>
      <c r="E31" s="32"/>
      <c r="F31" s="32"/>
    </row>
    <row r="32" spans="1:6" ht="56.1" customHeight="1">
      <c r="A32" s="8" t="s">
        <v>50</v>
      </c>
      <c r="B32" s="7"/>
      <c r="C32" s="32" t="str" cm="1">
        <f t="array" ref="C32">IF(B32="","Esperando Puntación...",_xlfn.IFS(B32=0,'Guía y rúbrica'!B31,B32=1,'Guía y rúbrica'!C31,B32=2,'Guía y rúbrica'!D31,B32=3,'Guía y rúbrica'!E31,B32="N/E","No evaluable"))</f>
        <v>Esperando Puntación...</v>
      </c>
      <c r="D32" s="32"/>
      <c r="E32" s="32"/>
      <c r="F32" s="32"/>
    </row>
    <row r="33" spans="1:6" ht="14.25">
      <c r="A33" s="4"/>
      <c r="B33" s="4"/>
      <c r="C33" s="4"/>
      <c r="D33" s="4"/>
      <c r="E33" s="4"/>
      <c r="F33" s="4"/>
    </row>
    <row r="34" spans="1:6" ht="24.95" customHeight="1">
      <c r="A34" s="5" t="s">
        <v>75</v>
      </c>
      <c r="B34" s="9" t="str">
        <f>IF(COUNT(B27:B32)=0,"",SUM(B27:B32))</f>
        <v/>
      </c>
      <c r="C34" s="32" t="s">
        <v>76</v>
      </c>
      <c r="D34" s="32"/>
      <c r="E34" s="32"/>
      <c r="F34" s="32"/>
    </row>
    <row r="35" spans="1:6" ht="24.95" customHeight="1">
      <c r="A35" s="5" t="s">
        <v>77</v>
      </c>
      <c r="B35" s="9" t="str">
        <f>IF(COUNT(B27:B32)=0,"",3*COUNT(B27:B32))</f>
        <v/>
      </c>
      <c r="C35" s="32"/>
      <c r="D35" s="32"/>
      <c r="E35" s="32"/>
      <c r="F35" s="32"/>
    </row>
    <row r="36" spans="1:6" ht="24.95" customHeight="1">
      <c r="A36" s="5" t="s">
        <v>78</v>
      </c>
      <c r="B36" s="10" t="str">
        <f>IF(OR(B35="",B35=0),"",B34/B35)</f>
        <v/>
      </c>
      <c r="C36" s="32"/>
      <c r="D36" s="32"/>
      <c r="E36" s="32"/>
      <c r="F36" s="32"/>
    </row>
    <row r="37" spans="1:6">
      <c r="A37" s="4"/>
      <c r="B37" s="4"/>
      <c r="C37" s="4"/>
      <c r="D37" s="4"/>
      <c r="E37" s="4"/>
      <c r="F37" s="4"/>
    </row>
    <row r="38" spans="1:6" ht="30.95" customHeight="1">
      <c r="A38" s="5" t="s">
        <v>79</v>
      </c>
      <c r="B38" s="28"/>
      <c r="C38" s="28"/>
      <c r="D38" s="28"/>
      <c r="E38" s="28"/>
      <c r="F38" s="28"/>
    </row>
    <row r="39" spans="1:6" ht="30.95" customHeight="1">
      <c r="A39" s="4"/>
      <c r="B39" s="28"/>
      <c r="C39" s="28"/>
      <c r="D39" s="28"/>
      <c r="E39" s="28"/>
      <c r="F39" s="28"/>
    </row>
    <row r="40" spans="1:6" ht="30.95" customHeight="1">
      <c r="A40" s="5" t="s">
        <v>80</v>
      </c>
      <c r="B40" s="28"/>
      <c r="C40" s="28"/>
      <c r="D40" s="28"/>
      <c r="E40" s="28"/>
      <c r="F40" s="28"/>
    </row>
    <row r="41" spans="1:6" ht="30.95" customHeight="1">
      <c r="A41" s="4"/>
      <c r="B41" s="28"/>
      <c r="C41" s="28"/>
      <c r="D41" s="28"/>
      <c r="E41" s="28"/>
      <c r="F41" s="28"/>
    </row>
    <row r="42" spans="1:6" ht="50.1" customHeight="1">
      <c r="A42" s="5" t="s">
        <v>81</v>
      </c>
      <c r="B42" s="28"/>
      <c r="C42" s="28"/>
      <c r="D42" s="28"/>
      <c r="E42" s="28"/>
      <c r="F42" s="28"/>
    </row>
    <row r="43" spans="1:6" ht="50.1" customHeight="1">
      <c r="A43" s="4"/>
      <c r="B43" s="28"/>
      <c r="C43" s="28"/>
      <c r="D43" s="28"/>
      <c r="E43" s="28"/>
      <c r="F43" s="28"/>
    </row>
    <row r="44" spans="1:6">
      <c r="A44" s="4"/>
      <c r="B44" s="4"/>
      <c r="C44" s="4"/>
      <c r="D44" s="4"/>
      <c r="E44" s="4"/>
      <c r="F44" s="4"/>
    </row>
    <row r="45" spans="1:6" ht="14.25"/>
    <row r="46" spans="1:6" ht="14.25"/>
    <row r="47" spans="1:6" ht="14.25"/>
    <row r="48" spans="1:6" ht="14.25"/>
  </sheetData>
  <mergeCells count="21">
    <mergeCell ref="B38:F39"/>
    <mergeCell ref="B40:F41"/>
    <mergeCell ref="B42:F43"/>
    <mergeCell ref="B7:F7"/>
    <mergeCell ref="B8:F8"/>
    <mergeCell ref="C29:F29"/>
    <mergeCell ref="C30:F30"/>
    <mergeCell ref="C31:F31"/>
    <mergeCell ref="C32:F32"/>
    <mergeCell ref="C34:F36"/>
    <mergeCell ref="B21:F23"/>
    <mergeCell ref="A25:F25"/>
    <mergeCell ref="C26:F26"/>
    <mergeCell ref="C27:F27"/>
    <mergeCell ref="C28:F28"/>
    <mergeCell ref="A16:F16"/>
    <mergeCell ref="B18:F20"/>
    <mergeCell ref="A1:F2"/>
    <mergeCell ref="A3:F3"/>
    <mergeCell ref="A5:F5"/>
    <mergeCell ref="B9:F10"/>
  </mergeCells>
  <dataValidations count="3">
    <dataValidation type="list" sqref="B27:B32" xr:uid="{00000000-0002-0000-0200-000000000000}">
      <formula1>"0,1,2,3,N/E"</formula1>
    </dataValidation>
    <dataValidation type="list" sqref="B38" xr:uid="{00000000-0002-0000-0200-000006000000}">
      <formula1>"Cumplido,Parcialmente cumplido,No cumplido,No evaluable"</formula1>
    </dataValidation>
    <dataValidation type="list" sqref="B40" xr:uid="{00000000-0002-0000-0200-000007000000}">
      <formula1>"Sí,No,Por determinar"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workbookViewId="0">
      <pane ySplit="3" topLeftCell="A4" activePane="bottomLeft" state="frozen"/>
      <selection pane="bottomLeft" activeCell="B21" sqref="B21:F23"/>
    </sheetView>
  </sheetViews>
  <sheetFormatPr defaultRowHeight="15"/>
  <cols>
    <col min="1" max="1" width="36" customWidth="1"/>
    <col min="2" max="2" width="17" customWidth="1"/>
    <col min="3" max="6" width="18" customWidth="1"/>
  </cols>
  <sheetData>
    <row r="1" spans="1:6" ht="14.25">
      <c r="A1" s="22" t="s">
        <v>91</v>
      </c>
      <c r="B1" s="22"/>
      <c r="C1" s="22"/>
      <c r="D1" s="22"/>
      <c r="E1" s="22"/>
      <c r="F1" s="22"/>
    </row>
    <row r="2" spans="1:6">
      <c r="A2" s="22"/>
      <c r="B2" s="22"/>
      <c r="C2" s="22"/>
      <c r="D2" s="22"/>
      <c r="E2" s="22"/>
      <c r="F2" s="22"/>
    </row>
    <row r="3" spans="1:6" ht="29.1" customHeight="1">
      <c r="A3" s="29" t="s">
        <v>56</v>
      </c>
      <c r="B3" s="29"/>
      <c r="C3" s="29"/>
      <c r="D3" s="29"/>
      <c r="E3" s="29"/>
      <c r="F3" s="29"/>
    </row>
    <row r="4" spans="1:6">
      <c r="A4" s="4"/>
      <c r="B4" s="4"/>
      <c r="C4" s="4"/>
      <c r="D4" s="4"/>
      <c r="E4" s="4"/>
      <c r="F4" s="4"/>
    </row>
    <row r="5" spans="1:6" ht="15.75">
      <c r="A5" s="25" t="s">
        <v>57</v>
      </c>
      <c r="B5" s="25"/>
      <c r="C5" s="25"/>
      <c r="D5" s="25"/>
      <c r="E5" s="25"/>
      <c r="F5" s="25"/>
    </row>
    <row r="6" spans="1:6" ht="14.25">
      <c r="A6" s="4"/>
      <c r="B6" s="4"/>
      <c r="C6" s="4"/>
      <c r="D6" s="4"/>
      <c r="E6" s="4"/>
      <c r="F6" s="4"/>
    </row>
    <row r="7" spans="1:6" ht="33" customHeight="1">
      <c r="A7" s="5" t="s">
        <v>58</v>
      </c>
      <c r="B7" s="27" t="s">
        <v>92</v>
      </c>
      <c r="C7" s="27"/>
      <c r="D7" s="27"/>
      <c r="E7" s="27"/>
      <c r="F7" s="27"/>
    </row>
    <row r="8" spans="1:6" ht="59.25" customHeight="1">
      <c r="A8" s="17" t="s">
        <v>60</v>
      </c>
      <c r="B8" s="27" t="s">
        <v>93</v>
      </c>
      <c r="C8" s="27"/>
      <c r="D8" s="27"/>
      <c r="E8" s="27"/>
      <c r="F8" s="27"/>
    </row>
    <row r="9" spans="1:6" ht="35.1" customHeight="1">
      <c r="A9" s="5" t="s">
        <v>62</v>
      </c>
      <c r="B9" s="27" t="s">
        <v>94</v>
      </c>
      <c r="C9" s="27"/>
      <c r="D9" s="27"/>
      <c r="E9" s="27"/>
      <c r="F9" s="27"/>
    </row>
    <row r="10" spans="1:6" ht="35.1" customHeight="1">
      <c r="A10" s="4"/>
      <c r="B10" s="27"/>
      <c r="C10" s="27"/>
      <c r="D10" s="27"/>
      <c r="E10" s="27"/>
      <c r="F10" s="27"/>
    </row>
    <row r="11" spans="1:6" ht="14.25">
      <c r="A11" s="18"/>
      <c r="B11" s="18"/>
      <c r="C11" s="18"/>
      <c r="D11" s="18"/>
      <c r="E11" s="18"/>
      <c r="F11" s="18"/>
    </row>
    <row r="12" spans="1:6" ht="56.1" customHeight="1">
      <c r="A12" s="5" t="s">
        <v>64</v>
      </c>
      <c r="B12" s="19" t="s">
        <v>95</v>
      </c>
      <c r="C12" s="20" t="s">
        <v>96</v>
      </c>
      <c r="D12" s="19" t="s">
        <v>97</v>
      </c>
      <c r="E12" s="20"/>
      <c r="F12" s="19"/>
    </row>
    <row r="13" spans="1:6" ht="56.1" customHeight="1">
      <c r="A13" s="4"/>
      <c r="B13" s="20"/>
      <c r="C13" s="19"/>
      <c r="D13" s="20"/>
      <c r="E13" s="19"/>
      <c r="F13" s="20"/>
    </row>
    <row r="14" spans="1:6" ht="14.25">
      <c r="A14" s="18"/>
      <c r="B14" s="18"/>
      <c r="C14" s="18"/>
      <c r="D14" s="18"/>
      <c r="E14" s="18"/>
      <c r="F14" s="18"/>
    </row>
    <row r="15" spans="1:6" ht="14.25">
      <c r="A15" s="4"/>
      <c r="B15" s="4"/>
      <c r="C15" s="4"/>
      <c r="D15" s="4"/>
      <c r="E15" s="4"/>
      <c r="F15" s="4"/>
    </row>
    <row r="16" spans="1:6">
      <c r="A16" s="25" t="s">
        <v>69</v>
      </c>
      <c r="B16" s="25"/>
      <c r="C16" s="25"/>
      <c r="D16" s="25"/>
      <c r="E16" s="25"/>
      <c r="F16" s="25"/>
    </row>
    <row r="17" spans="1:6">
      <c r="A17" s="4"/>
      <c r="B17" s="4"/>
      <c r="C17" s="4"/>
      <c r="D17" s="4"/>
      <c r="E17" s="4"/>
      <c r="F17" s="4"/>
    </row>
    <row r="18" spans="1:6" ht="54" customHeight="1">
      <c r="A18" s="5" t="s">
        <v>70</v>
      </c>
      <c r="B18" s="28"/>
      <c r="C18" s="28"/>
      <c r="D18" s="28"/>
      <c r="E18" s="28"/>
      <c r="F18" s="28"/>
    </row>
    <row r="19" spans="1:6" ht="54" customHeight="1">
      <c r="A19" s="4"/>
      <c r="B19" s="28"/>
      <c r="C19" s="28"/>
      <c r="D19" s="28"/>
      <c r="E19" s="28"/>
      <c r="F19" s="28"/>
    </row>
    <row r="20" spans="1:6" ht="54" customHeight="1">
      <c r="A20" s="4"/>
      <c r="B20" s="28"/>
      <c r="C20" s="28"/>
      <c r="D20" s="28"/>
      <c r="E20" s="28"/>
      <c r="F20" s="28"/>
    </row>
    <row r="21" spans="1:6" ht="45" customHeight="1">
      <c r="A21" s="5" t="s">
        <v>71</v>
      </c>
      <c r="B21" s="28"/>
      <c r="C21" s="28"/>
      <c r="D21" s="28"/>
      <c r="E21" s="28"/>
      <c r="F21" s="28"/>
    </row>
    <row r="22" spans="1:6" ht="45" customHeight="1">
      <c r="A22" s="4"/>
      <c r="B22" s="28"/>
      <c r="C22" s="28"/>
      <c r="D22" s="28"/>
      <c r="E22" s="28"/>
      <c r="F22" s="28"/>
    </row>
    <row r="23" spans="1:6" ht="45" customHeight="1">
      <c r="A23" s="4"/>
      <c r="B23" s="28"/>
      <c r="C23" s="28"/>
      <c r="D23" s="28"/>
      <c r="E23" s="28"/>
      <c r="F23" s="28"/>
    </row>
    <row r="24" spans="1:6">
      <c r="A24" s="4"/>
      <c r="B24" s="4"/>
      <c r="C24" s="4"/>
      <c r="D24" s="4"/>
      <c r="E24" s="4"/>
      <c r="F24" s="4"/>
    </row>
    <row r="25" spans="1:6">
      <c r="A25" s="25" t="s">
        <v>72</v>
      </c>
      <c r="B25" s="25"/>
      <c r="C25" s="25"/>
      <c r="D25" s="25"/>
      <c r="E25" s="25"/>
      <c r="F25" s="25"/>
    </row>
    <row r="26" spans="1:6" ht="29.1" customHeight="1">
      <c r="A26" s="21" t="s">
        <v>20</v>
      </c>
      <c r="B26" s="21" t="s">
        <v>73</v>
      </c>
      <c r="C26" s="31" t="s">
        <v>90</v>
      </c>
      <c r="D26" s="31"/>
      <c r="E26" s="31"/>
      <c r="F26" s="31"/>
    </row>
    <row r="27" spans="1:6" ht="56.1" customHeight="1">
      <c r="A27" s="6" t="s">
        <v>25</v>
      </c>
      <c r="B27" s="7"/>
      <c r="C27" s="32" t="str" cm="1">
        <f t="array" ref="C27">IF(B27="","Esperando Puntación...",_xlfn.IFS(B27=0,'Guía y rúbrica'!B26,B27=1,'Guía y rúbrica'!C26,B27=2,'Guía y rúbrica'!D26,B27=3,'Guía y rúbrica'!E26,B27="N/E","No evaluable"))</f>
        <v>Esperando Puntación...</v>
      </c>
      <c r="D27" s="32"/>
      <c r="E27" s="32"/>
      <c r="F27" s="32"/>
    </row>
    <row r="28" spans="1:6" ht="56.1" customHeight="1">
      <c r="A28" s="8" t="s">
        <v>30</v>
      </c>
      <c r="B28" s="7"/>
      <c r="C28" s="32" t="str" cm="1">
        <f t="array" ref="C28">IF(B28="","Esperando Puntación...",_xlfn.IFS(B28=0,'Guía y rúbrica'!B27,B28=1,'Guía y rúbrica'!C27,B28=2,'Guía y rúbrica'!D27,B28=3,'Guía y rúbrica'!E27,B28="N/E","No evaluable"))</f>
        <v>Esperando Puntación...</v>
      </c>
      <c r="D28" s="32"/>
      <c r="E28" s="32"/>
      <c r="F28" s="32"/>
    </row>
    <row r="29" spans="1:6" ht="56.1" customHeight="1">
      <c r="A29" s="6" t="s">
        <v>35</v>
      </c>
      <c r="B29" s="7"/>
      <c r="C29" s="32" t="str" cm="1">
        <f t="array" ref="C29">IF(B29="","Esperando Puntación...",_xlfn.IFS(B29=0,'Guía y rúbrica'!B28,B29=1,'Guía y rúbrica'!C28,B29=2,'Guía y rúbrica'!D28,B29=3,'Guía y rúbrica'!E28,B29="N/E","No evaluable"))</f>
        <v>Esperando Puntación...</v>
      </c>
      <c r="D29" s="32"/>
      <c r="E29" s="32"/>
      <c r="F29" s="32"/>
    </row>
    <row r="30" spans="1:6" ht="56.1" customHeight="1">
      <c r="A30" s="8" t="s">
        <v>40</v>
      </c>
      <c r="B30" s="7"/>
      <c r="C30" s="32" t="str" cm="1">
        <f t="array" ref="C30">IF(B30="","Esperando Puntación...",_xlfn.IFS(B30=0,'Guía y rúbrica'!B29,B30=1,'Guía y rúbrica'!C29,B30=2,'Guía y rúbrica'!D29,B30=3,'Guía y rúbrica'!E29,B30="N/E","No evaluable"))</f>
        <v>Esperando Puntación...</v>
      </c>
      <c r="D30" s="32"/>
      <c r="E30" s="32"/>
      <c r="F30" s="32"/>
    </row>
    <row r="31" spans="1:6" ht="56.1" customHeight="1">
      <c r="A31" s="6" t="s">
        <v>45</v>
      </c>
      <c r="B31" s="7"/>
      <c r="C31" s="32" t="str" cm="1">
        <f t="array" ref="C31">IF(B31="","Esperando Puntación...",_xlfn.IFS(B31=0,'Guía y rúbrica'!B30,B31=1,'Guía y rúbrica'!C30,B31=2,'Guía y rúbrica'!D30,B31=3,'Guía y rúbrica'!E30,B31="N/E","No evaluable"))</f>
        <v>Esperando Puntación...</v>
      </c>
      <c r="D31" s="32"/>
      <c r="E31" s="32"/>
      <c r="F31" s="32"/>
    </row>
    <row r="32" spans="1:6" ht="56.1" customHeight="1">
      <c r="A32" s="8" t="s">
        <v>50</v>
      </c>
      <c r="B32" s="7"/>
      <c r="C32" s="32" t="str" cm="1">
        <f t="array" ref="C32">IF(B32="","Esperando Puntación...",_xlfn.IFS(B32=0,'Guía y rúbrica'!B31,B32=1,'Guía y rúbrica'!C31,B32=2,'Guía y rúbrica'!D31,B32=3,'Guía y rúbrica'!E31,B32="N/E","No evaluable"))</f>
        <v>Esperando Puntación...</v>
      </c>
      <c r="D32" s="32"/>
      <c r="E32" s="32"/>
      <c r="F32" s="32"/>
    </row>
    <row r="33" spans="1:6" ht="14.25">
      <c r="A33" s="4"/>
      <c r="B33" s="4"/>
      <c r="C33" s="4"/>
      <c r="D33" s="4"/>
      <c r="E33" s="4"/>
      <c r="F33" s="4"/>
    </row>
    <row r="34" spans="1:6" ht="24.95" customHeight="1">
      <c r="A34" s="5" t="s">
        <v>75</v>
      </c>
      <c r="B34" s="9" t="str">
        <f>IF(COUNT(B27:B32)=0,"",SUM(B27:B32))</f>
        <v/>
      </c>
      <c r="C34" s="32" t="s">
        <v>76</v>
      </c>
      <c r="D34" s="32"/>
      <c r="E34" s="32"/>
      <c r="F34" s="32"/>
    </row>
    <row r="35" spans="1:6" ht="24.95" customHeight="1">
      <c r="A35" s="5" t="s">
        <v>77</v>
      </c>
      <c r="B35" s="9" t="str">
        <f>IF(COUNT(B27:B32)=0,"",3*COUNT(B27:B32))</f>
        <v/>
      </c>
      <c r="C35" s="32"/>
      <c r="D35" s="32"/>
      <c r="E35" s="32"/>
      <c r="F35" s="32"/>
    </row>
    <row r="36" spans="1:6" ht="24.95" customHeight="1">
      <c r="A36" s="5" t="s">
        <v>78</v>
      </c>
      <c r="B36" s="10" t="str">
        <f>IF(OR(B35="",B35=0),"",B34/B35)</f>
        <v/>
      </c>
      <c r="C36" s="32"/>
      <c r="D36" s="32"/>
      <c r="E36" s="32"/>
      <c r="F36" s="32"/>
    </row>
    <row r="37" spans="1:6">
      <c r="A37" s="4"/>
      <c r="B37" s="4"/>
      <c r="C37" s="4"/>
      <c r="D37" s="4"/>
      <c r="E37" s="4"/>
      <c r="F37" s="4"/>
    </row>
    <row r="38" spans="1:6" ht="30.95" customHeight="1">
      <c r="A38" s="5" t="s">
        <v>79</v>
      </c>
      <c r="B38" s="28"/>
      <c r="C38" s="28"/>
      <c r="D38" s="28"/>
      <c r="E38" s="28"/>
      <c r="F38" s="28"/>
    </row>
    <row r="39" spans="1:6" ht="30.95" customHeight="1">
      <c r="A39" s="4"/>
      <c r="B39" s="28"/>
      <c r="C39" s="28"/>
      <c r="D39" s="28"/>
      <c r="E39" s="28"/>
      <c r="F39" s="28"/>
    </row>
    <row r="40" spans="1:6" ht="30.95" customHeight="1">
      <c r="A40" s="5" t="s">
        <v>80</v>
      </c>
      <c r="B40" s="28"/>
      <c r="C40" s="28"/>
      <c r="D40" s="28"/>
      <c r="E40" s="28"/>
      <c r="F40" s="28"/>
    </row>
    <row r="41" spans="1:6" ht="30.95" customHeight="1">
      <c r="A41" s="4"/>
      <c r="B41" s="28"/>
      <c r="C41" s="28"/>
      <c r="D41" s="28"/>
      <c r="E41" s="28"/>
      <c r="F41" s="28"/>
    </row>
    <row r="42" spans="1:6" ht="50.1" customHeight="1">
      <c r="A42" s="5" t="s">
        <v>81</v>
      </c>
      <c r="B42" s="28"/>
      <c r="C42" s="28"/>
      <c r="D42" s="28"/>
      <c r="E42" s="28"/>
      <c r="F42" s="28"/>
    </row>
    <row r="43" spans="1:6" ht="50.1" customHeight="1">
      <c r="A43" s="4"/>
      <c r="B43" s="28"/>
      <c r="C43" s="28"/>
      <c r="D43" s="28"/>
      <c r="E43" s="28"/>
      <c r="F43" s="28"/>
    </row>
    <row r="44" spans="1:6">
      <c r="A44" s="4"/>
      <c r="B44" s="4"/>
      <c r="C44" s="4"/>
      <c r="D44" s="4"/>
      <c r="E44" s="4"/>
      <c r="F44" s="4"/>
    </row>
    <row r="45" spans="1:6" ht="14.25"/>
    <row r="46" spans="1:6" ht="14.25"/>
    <row r="47" spans="1:6" ht="14.25"/>
    <row r="48" spans="1:6" ht="14.25"/>
  </sheetData>
  <mergeCells count="21">
    <mergeCell ref="B38:F39"/>
    <mergeCell ref="B40:F41"/>
    <mergeCell ref="B42:F43"/>
    <mergeCell ref="B7:F7"/>
    <mergeCell ref="B8:F8"/>
    <mergeCell ref="C29:F29"/>
    <mergeCell ref="C30:F30"/>
    <mergeCell ref="C31:F31"/>
    <mergeCell ref="C32:F32"/>
    <mergeCell ref="C34:F36"/>
    <mergeCell ref="B21:F23"/>
    <mergeCell ref="A25:F25"/>
    <mergeCell ref="C26:F26"/>
    <mergeCell ref="C27:F27"/>
    <mergeCell ref="C28:F28"/>
    <mergeCell ref="A16:F16"/>
    <mergeCell ref="B18:F20"/>
    <mergeCell ref="A1:F2"/>
    <mergeCell ref="A3:F3"/>
    <mergeCell ref="A5:F5"/>
    <mergeCell ref="B9:F10"/>
  </mergeCells>
  <dataValidations count="3">
    <dataValidation type="list" sqref="B27:B32" xr:uid="{00000000-0002-0000-0300-000000000000}">
      <formula1>"0,1,2,3,N/E"</formula1>
    </dataValidation>
    <dataValidation type="list" sqref="B38" xr:uid="{00000000-0002-0000-0300-000006000000}">
      <formula1>"Cumplido,Parcialmente cumplido,No cumplido,No evaluable"</formula1>
    </dataValidation>
    <dataValidation type="list" sqref="B40" xr:uid="{00000000-0002-0000-0300-000007000000}">
      <formula1>"Sí,No,Por determinar"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8"/>
  <sheetViews>
    <sheetView workbookViewId="0">
      <pane ySplit="3" topLeftCell="A4" activePane="bottomLeft" state="frozen"/>
      <selection pane="bottomLeft" sqref="A1:F2"/>
    </sheetView>
  </sheetViews>
  <sheetFormatPr defaultRowHeight="15"/>
  <cols>
    <col min="1" max="1" width="36" customWidth="1"/>
    <col min="2" max="2" width="17" customWidth="1"/>
    <col min="3" max="6" width="18" customWidth="1"/>
  </cols>
  <sheetData>
    <row r="1" spans="1:6" ht="14.25">
      <c r="A1" s="22" t="s">
        <v>98</v>
      </c>
      <c r="B1" s="22"/>
      <c r="C1" s="22"/>
      <c r="D1" s="22"/>
      <c r="E1" s="22"/>
      <c r="F1" s="22"/>
    </row>
    <row r="2" spans="1:6">
      <c r="A2" s="22"/>
      <c r="B2" s="22"/>
      <c r="C2" s="22"/>
      <c r="D2" s="22"/>
      <c r="E2" s="22"/>
      <c r="F2" s="22"/>
    </row>
    <row r="3" spans="1:6" ht="29.1" customHeight="1">
      <c r="A3" s="29" t="s">
        <v>56</v>
      </c>
      <c r="B3" s="29"/>
      <c r="C3" s="29"/>
      <c r="D3" s="29"/>
      <c r="E3" s="29"/>
      <c r="F3" s="29"/>
    </row>
    <row r="4" spans="1:6">
      <c r="A4" s="4"/>
      <c r="B4" s="4"/>
      <c r="C4" s="4"/>
      <c r="D4" s="4"/>
      <c r="E4" s="4"/>
      <c r="F4" s="4"/>
    </row>
    <row r="5" spans="1:6" ht="15.75">
      <c r="A5" s="25" t="s">
        <v>57</v>
      </c>
      <c r="B5" s="25"/>
      <c r="C5" s="25"/>
      <c r="D5" s="25"/>
      <c r="E5" s="25"/>
      <c r="F5" s="25"/>
    </row>
    <row r="6" spans="1:6" ht="14.25">
      <c r="A6" s="4"/>
      <c r="B6" s="4"/>
      <c r="C6" s="4"/>
      <c r="D6" s="4"/>
      <c r="E6" s="4"/>
      <c r="F6" s="4"/>
    </row>
    <row r="7" spans="1:6" ht="33" customHeight="1">
      <c r="A7" s="5" t="s">
        <v>58</v>
      </c>
      <c r="B7" s="27" t="s">
        <v>99</v>
      </c>
      <c r="C7" s="27"/>
      <c r="D7" s="27"/>
      <c r="E7" s="27"/>
      <c r="F7" s="27"/>
    </row>
    <row r="8" spans="1:6" ht="78.75" customHeight="1">
      <c r="A8" s="17" t="s">
        <v>60</v>
      </c>
      <c r="B8" s="27" t="s">
        <v>100</v>
      </c>
      <c r="C8" s="27"/>
      <c r="D8" s="27"/>
      <c r="E8" s="27"/>
      <c r="F8" s="27"/>
    </row>
    <row r="9" spans="1:6" ht="35.1" customHeight="1">
      <c r="A9" s="5" t="s">
        <v>62</v>
      </c>
      <c r="B9" s="27" t="s">
        <v>101</v>
      </c>
      <c r="C9" s="27"/>
      <c r="D9" s="27"/>
      <c r="E9" s="27"/>
      <c r="F9" s="27"/>
    </row>
    <row r="10" spans="1:6" ht="35.1" customHeight="1">
      <c r="A10" s="4"/>
      <c r="B10" s="27"/>
      <c r="C10" s="27"/>
      <c r="D10" s="27"/>
      <c r="E10" s="27"/>
      <c r="F10" s="27"/>
    </row>
    <row r="11" spans="1:6" ht="14.25">
      <c r="A11" s="18"/>
      <c r="B11" s="18"/>
      <c r="C11" s="18"/>
      <c r="D11" s="18"/>
      <c r="E11" s="18"/>
      <c r="F11" s="18"/>
    </row>
    <row r="12" spans="1:6" ht="56.1" customHeight="1">
      <c r="A12" s="5" t="s">
        <v>64</v>
      </c>
      <c r="B12" s="19"/>
      <c r="C12" s="20"/>
      <c r="D12" s="19"/>
      <c r="E12" s="20"/>
      <c r="F12" s="19"/>
    </row>
    <row r="13" spans="1:6" ht="56.1" customHeight="1">
      <c r="A13" s="4"/>
      <c r="B13" s="20"/>
      <c r="C13" s="19"/>
      <c r="D13" s="20"/>
      <c r="E13" s="19"/>
      <c r="F13" s="20"/>
    </row>
    <row r="14" spans="1:6" ht="14.25">
      <c r="A14" s="18"/>
      <c r="B14" s="18"/>
      <c r="C14" s="18"/>
      <c r="D14" s="18"/>
      <c r="E14" s="18"/>
      <c r="F14" s="18"/>
    </row>
    <row r="15" spans="1:6" ht="14.25">
      <c r="A15" s="4"/>
      <c r="B15" s="4"/>
      <c r="C15" s="4"/>
      <c r="D15" s="4"/>
      <c r="E15" s="4"/>
      <c r="F15" s="4"/>
    </row>
    <row r="16" spans="1:6">
      <c r="A16" s="25" t="s">
        <v>69</v>
      </c>
      <c r="B16" s="25"/>
      <c r="C16" s="25"/>
      <c r="D16" s="25"/>
      <c r="E16" s="25"/>
      <c r="F16" s="25"/>
    </row>
    <row r="17" spans="1:6">
      <c r="A17" s="4"/>
      <c r="B17" s="4"/>
      <c r="C17" s="4"/>
      <c r="D17" s="4"/>
      <c r="E17" s="4"/>
      <c r="F17" s="4"/>
    </row>
    <row r="18" spans="1:6" ht="54" customHeight="1">
      <c r="A18" s="5" t="s">
        <v>70</v>
      </c>
      <c r="B18" s="28"/>
      <c r="C18" s="28"/>
      <c r="D18" s="28"/>
      <c r="E18" s="28"/>
      <c r="F18" s="28"/>
    </row>
    <row r="19" spans="1:6" ht="54" customHeight="1">
      <c r="A19" s="4"/>
      <c r="B19" s="28"/>
      <c r="C19" s="28"/>
      <c r="D19" s="28"/>
      <c r="E19" s="28"/>
      <c r="F19" s="28"/>
    </row>
    <row r="20" spans="1:6" ht="54" customHeight="1">
      <c r="A20" s="4"/>
      <c r="B20" s="28"/>
      <c r="C20" s="28"/>
      <c r="D20" s="28"/>
      <c r="E20" s="28"/>
      <c r="F20" s="28"/>
    </row>
    <row r="21" spans="1:6" ht="45" customHeight="1">
      <c r="A21" s="5" t="s">
        <v>71</v>
      </c>
      <c r="B21" s="28"/>
      <c r="C21" s="28"/>
      <c r="D21" s="28"/>
      <c r="E21" s="28"/>
      <c r="F21" s="28"/>
    </row>
    <row r="22" spans="1:6" ht="45" customHeight="1">
      <c r="A22" s="4"/>
      <c r="B22" s="28"/>
      <c r="C22" s="28"/>
      <c r="D22" s="28"/>
      <c r="E22" s="28"/>
      <c r="F22" s="28"/>
    </row>
    <row r="23" spans="1:6" ht="45" customHeight="1">
      <c r="A23" s="4"/>
      <c r="B23" s="28"/>
      <c r="C23" s="28"/>
      <c r="D23" s="28"/>
      <c r="E23" s="28"/>
      <c r="F23" s="28"/>
    </row>
    <row r="24" spans="1:6">
      <c r="A24" s="4"/>
      <c r="B24" s="4"/>
      <c r="C24" s="4"/>
      <c r="D24" s="4"/>
      <c r="E24" s="4"/>
      <c r="F24" s="4"/>
    </row>
    <row r="25" spans="1:6">
      <c r="A25" s="25" t="s">
        <v>72</v>
      </c>
      <c r="B25" s="25"/>
      <c r="C25" s="25"/>
      <c r="D25" s="25"/>
      <c r="E25" s="25"/>
      <c r="F25" s="25"/>
    </row>
    <row r="26" spans="1:6" ht="29.1" customHeight="1">
      <c r="A26" s="21" t="s">
        <v>20</v>
      </c>
      <c r="B26" s="21" t="s">
        <v>73</v>
      </c>
      <c r="C26" s="31" t="s">
        <v>90</v>
      </c>
      <c r="D26" s="31"/>
      <c r="E26" s="31"/>
      <c r="F26" s="31"/>
    </row>
    <row r="27" spans="1:6" ht="56.1" customHeight="1">
      <c r="A27" s="6" t="s">
        <v>25</v>
      </c>
      <c r="B27" s="7"/>
      <c r="C27" s="32" t="str" cm="1">
        <f t="array" ref="C27">IF(B27="","Esperando Puntación...",_xlfn.IFS(B27=0,'Guía y rúbrica'!B26,B27=1,'Guía y rúbrica'!C26,B27=2,'Guía y rúbrica'!D26,B27=3,'Guía y rúbrica'!E26,B27="N/E","No evaluable"))</f>
        <v>Esperando Puntación...</v>
      </c>
      <c r="D27" s="32"/>
      <c r="E27" s="32"/>
      <c r="F27" s="32"/>
    </row>
    <row r="28" spans="1:6" ht="56.1" customHeight="1">
      <c r="A28" s="8" t="s">
        <v>30</v>
      </c>
      <c r="B28" s="7"/>
      <c r="C28" s="32" t="str" cm="1">
        <f t="array" ref="C28">IF(B28="","Esperando Puntación...",_xlfn.IFS(B28=0,'Guía y rúbrica'!B27,B28=1,'Guía y rúbrica'!C27,B28=2,'Guía y rúbrica'!D27,B28=3,'Guía y rúbrica'!E27,B28="N/E","No evaluable"))</f>
        <v>Esperando Puntación...</v>
      </c>
      <c r="D28" s="32"/>
      <c r="E28" s="32"/>
      <c r="F28" s="32"/>
    </row>
    <row r="29" spans="1:6" ht="56.1" customHeight="1">
      <c r="A29" s="6" t="s">
        <v>35</v>
      </c>
      <c r="B29" s="7"/>
      <c r="C29" s="32" t="str" cm="1">
        <f t="array" ref="C29">IF(B29="","Esperando Puntación...",_xlfn.IFS(B29=0,'Guía y rúbrica'!B28,B29=1,'Guía y rúbrica'!C28,B29=2,'Guía y rúbrica'!D28,B29=3,'Guía y rúbrica'!E28,B29="N/E","No evaluable"))</f>
        <v>Esperando Puntación...</v>
      </c>
      <c r="D29" s="32"/>
      <c r="E29" s="32"/>
      <c r="F29" s="32"/>
    </row>
    <row r="30" spans="1:6" ht="56.1" customHeight="1">
      <c r="A30" s="8" t="s">
        <v>40</v>
      </c>
      <c r="B30" s="7"/>
      <c r="C30" s="32" t="str" cm="1">
        <f t="array" ref="C30">IF(B30="","Esperando Puntación...",_xlfn.IFS(B30=0,'Guía y rúbrica'!B29,B30=1,'Guía y rúbrica'!C29,B30=2,'Guía y rúbrica'!D29,B30=3,'Guía y rúbrica'!E29,B30="N/E","No evaluable"))</f>
        <v>Esperando Puntación...</v>
      </c>
      <c r="D30" s="32"/>
      <c r="E30" s="32"/>
      <c r="F30" s="32"/>
    </row>
    <row r="31" spans="1:6" ht="56.1" customHeight="1">
      <c r="A31" s="6" t="s">
        <v>45</v>
      </c>
      <c r="B31" s="7"/>
      <c r="C31" s="32" t="str" cm="1">
        <f t="array" ref="C31">IF(B31="","Esperando Puntación...",_xlfn.IFS(B31=0,'Guía y rúbrica'!B30,B31=1,'Guía y rúbrica'!C30,B31=2,'Guía y rúbrica'!D30,B31=3,'Guía y rúbrica'!E30,B31="N/E","No evaluable"))</f>
        <v>Esperando Puntación...</v>
      </c>
      <c r="D31" s="32"/>
      <c r="E31" s="32"/>
      <c r="F31" s="32"/>
    </row>
    <row r="32" spans="1:6" ht="56.1" customHeight="1">
      <c r="A32" s="8" t="s">
        <v>50</v>
      </c>
      <c r="B32" s="7"/>
      <c r="C32" s="32" t="str" cm="1">
        <f t="array" ref="C32">IF(B32="","Esperando Puntación...",_xlfn.IFS(B32=0,'Guía y rúbrica'!B31,B32=1,'Guía y rúbrica'!C31,B32=2,'Guía y rúbrica'!D31,B32=3,'Guía y rúbrica'!E31,B32="N/E","No evaluable"))</f>
        <v>Esperando Puntación...</v>
      </c>
      <c r="D32" s="32"/>
      <c r="E32" s="32"/>
      <c r="F32" s="32"/>
    </row>
    <row r="33" spans="1:6" ht="14.25">
      <c r="A33" s="4"/>
      <c r="B33" s="4"/>
      <c r="C33" s="4"/>
      <c r="D33" s="4"/>
      <c r="E33" s="4"/>
      <c r="F33" s="4"/>
    </row>
    <row r="34" spans="1:6" ht="24.95" customHeight="1">
      <c r="A34" s="5" t="s">
        <v>75</v>
      </c>
      <c r="B34" s="9" t="str">
        <f>IF(COUNT(B27:B32)=0,"",SUM(B27:B32))</f>
        <v/>
      </c>
      <c r="C34" s="32" t="s">
        <v>76</v>
      </c>
      <c r="D34" s="32"/>
      <c r="E34" s="32"/>
      <c r="F34" s="32"/>
    </row>
    <row r="35" spans="1:6" ht="24.95" customHeight="1">
      <c r="A35" s="5" t="s">
        <v>77</v>
      </c>
      <c r="B35" s="9" t="str">
        <f>IF(COUNT(B27:B32)=0,"",3*COUNT(B27:B32))</f>
        <v/>
      </c>
      <c r="C35" s="32"/>
      <c r="D35" s="32"/>
      <c r="E35" s="32"/>
      <c r="F35" s="32"/>
    </row>
    <row r="36" spans="1:6" ht="24.95" customHeight="1">
      <c r="A36" s="5" t="s">
        <v>78</v>
      </c>
      <c r="B36" s="10" t="str">
        <f>IF(OR(B35="",B35=0),"",B34/B35)</f>
        <v/>
      </c>
      <c r="C36" s="32"/>
      <c r="D36" s="32"/>
      <c r="E36" s="32"/>
      <c r="F36" s="32"/>
    </row>
    <row r="37" spans="1:6">
      <c r="A37" s="4"/>
      <c r="B37" s="4"/>
      <c r="C37" s="4"/>
      <c r="D37" s="4"/>
      <c r="E37" s="4"/>
      <c r="F37" s="4"/>
    </row>
    <row r="38" spans="1:6" ht="30.95" customHeight="1">
      <c r="A38" s="5" t="s">
        <v>79</v>
      </c>
      <c r="B38" s="28"/>
      <c r="C38" s="28"/>
      <c r="D38" s="28"/>
      <c r="E38" s="28"/>
      <c r="F38" s="28"/>
    </row>
    <row r="39" spans="1:6" ht="30.95" customHeight="1">
      <c r="A39" s="4"/>
      <c r="B39" s="28"/>
      <c r="C39" s="28"/>
      <c r="D39" s="28"/>
      <c r="E39" s="28"/>
      <c r="F39" s="28"/>
    </row>
    <row r="40" spans="1:6" ht="30.95" customHeight="1">
      <c r="A40" s="5" t="s">
        <v>80</v>
      </c>
      <c r="B40" s="28"/>
      <c r="C40" s="28"/>
      <c r="D40" s="28"/>
      <c r="E40" s="28"/>
      <c r="F40" s="28"/>
    </row>
    <row r="41" spans="1:6" ht="30.95" customHeight="1">
      <c r="A41" s="4"/>
      <c r="B41" s="28"/>
      <c r="C41" s="28"/>
      <c r="D41" s="28"/>
      <c r="E41" s="28"/>
      <c r="F41" s="28"/>
    </row>
    <row r="42" spans="1:6" ht="50.1" customHeight="1">
      <c r="A42" s="5" t="s">
        <v>81</v>
      </c>
      <c r="B42" s="28"/>
      <c r="C42" s="28"/>
      <c r="D42" s="28"/>
      <c r="E42" s="28"/>
      <c r="F42" s="28"/>
    </row>
    <row r="43" spans="1:6" ht="50.1" customHeight="1">
      <c r="A43" s="4"/>
      <c r="B43" s="28"/>
      <c r="C43" s="28"/>
      <c r="D43" s="28"/>
      <c r="E43" s="28"/>
      <c r="F43" s="28"/>
    </row>
    <row r="44" spans="1:6">
      <c r="A44" s="4"/>
      <c r="B44" s="4"/>
      <c r="C44" s="4"/>
      <c r="D44" s="4"/>
      <c r="E44" s="4"/>
      <c r="F44" s="4"/>
    </row>
    <row r="45" spans="1:6" ht="14.25"/>
    <row r="46" spans="1:6" ht="14.25"/>
    <row r="47" spans="1:6" ht="14.25"/>
    <row r="48" spans="1:6" ht="14.25"/>
  </sheetData>
  <mergeCells count="21">
    <mergeCell ref="B38:F39"/>
    <mergeCell ref="B40:F41"/>
    <mergeCell ref="B42:F43"/>
    <mergeCell ref="B7:F7"/>
    <mergeCell ref="B8:F8"/>
    <mergeCell ref="C29:F29"/>
    <mergeCell ref="C30:F30"/>
    <mergeCell ref="C31:F31"/>
    <mergeCell ref="C32:F32"/>
    <mergeCell ref="C34:F36"/>
    <mergeCell ref="B21:F23"/>
    <mergeCell ref="A25:F25"/>
    <mergeCell ref="C26:F26"/>
    <mergeCell ref="C27:F27"/>
    <mergeCell ref="C28:F28"/>
    <mergeCell ref="A16:F16"/>
    <mergeCell ref="B18:F20"/>
    <mergeCell ref="A1:F2"/>
    <mergeCell ref="A3:F3"/>
    <mergeCell ref="A5:F5"/>
    <mergeCell ref="B9:F10"/>
  </mergeCells>
  <dataValidations count="3">
    <dataValidation type="list" sqref="B27:B32" xr:uid="{00000000-0002-0000-0400-000000000000}">
      <formula1>"0,1,2,3,N/E"</formula1>
    </dataValidation>
    <dataValidation type="list" sqref="B38" xr:uid="{00000000-0002-0000-0400-000006000000}">
      <formula1>"Cumplido,Parcialmente cumplido,No cumplido,No evaluable"</formula1>
    </dataValidation>
    <dataValidation type="list" sqref="B40" xr:uid="{00000000-0002-0000-0400-000007000000}">
      <formula1>"Sí,No,Por determinar"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tabSelected="1" workbookViewId="0">
      <pane ySplit="6" topLeftCell="A7" activePane="bottomLeft" state="frozen"/>
      <selection pane="bottomLeft" activeCell="B16" sqref="B16"/>
    </sheetView>
  </sheetViews>
  <sheetFormatPr defaultRowHeight="15"/>
  <cols>
    <col min="1" max="1" width="17" customWidth="1"/>
    <col min="2" max="2" width="47" customWidth="1"/>
    <col min="3" max="7" width="23" customWidth="1"/>
  </cols>
  <sheetData>
    <row r="1" spans="1:7">
      <c r="A1" s="22" t="s">
        <v>102</v>
      </c>
      <c r="B1" s="22"/>
      <c r="C1" s="22"/>
      <c r="D1" s="22"/>
      <c r="E1" s="22"/>
      <c r="F1" s="22"/>
      <c r="G1" s="22"/>
    </row>
    <row r="2" spans="1:7">
      <c r="A2" s="22"/>
      <c r="B2" s="22"/>
      <c r="C2" s="22"/>
      <c r="D2" s="22"/>
      <c r="E2" s="22"/>
      <c r="F2" s="22"/>
      <c r="G2" s="22"/>
    </row>
    <row r="4" spans="1:7" ht="30" customHeight="1">
      <c r="A4" s="23" t="s">
        <v>103</v>
      </c>
      <c r="B4" s="23"/>
      <c r="C4" s="23"/>
      <c r="D4" s="23"/>
      <c r="E4" s="23"/>
      <c r="F4" s="23"/>
      <c r="G4" s="23"/>
    </row>
    <row r="6" spans="1:7" ht="33" customHeight="1">
      <c r="A6" s="11" t="s">
        <v>104</v>
      </c>
      <c r="B6" s="11" t="s">
        <v>105</v>
      </c>
      <c r="C6" s="11" t="s">
        <v>106</v>
      </c>
      <c r="D6" s="11" t="s">
        <v>107</v>
      </c>
      <c r="E6" s="11" t="s">
        <v>108</v>
      </c>
      <c r="F6" s="11" t="s">
        <v>79</v>
      </c>
      <c r="G6" s="11" t="s">
        <v>109</v>
      </c>
    </row>
    <row r="7" spans="1:7" ht="42.95" customHeight="1">
      <c r="A7" s="2" t="s">
        <v>110</v>
      </c>
      <c r="B7" s="2" t="s">
        <v>111</v>
      </c>
      <c r="C7" s="2" t="str">
        <f>IF('CN-01'!B34="","",'CN-01'!B34)</f>
        <v/>
      </c>
      <c r="D7" s="2" t="str">
        <f>IF('CN-01'!B35="","",'CN-01'!B35)</f>
        <v/>
      </c>
      <c r="E7" s="12" t="str">
        <f>IF('CN-01'!B36="","",'CN-01'!B36)</f>
        <v/>
      </c>
      <c r="F7" s="2" t="str">
        <f>IF('CN-01'!B38="","",'CN-01'!B38)</f>
        <v/>
      </c>
      <c r="G7" s="2" t="str">
        <f>IF('CN-01'!B40="","",'CN-01'!B40)</f>
        <v/>
      </c>
    </row>
    <row r="8" spans="1:7" ht="42.95" customHeight="1">
      <c r="A8" s="3" t="s">
        <v>112</v>
      </c>
      <c r="B8" s="3" t="s">
        <v>113</v>
      </c>
      <c r="C8" s="3" t="str">
        <f>IF('CN-02'!B34="","",'CN-02'!B34)</f>
        <v/>
      </c>
      <c r="D8" s="3" t="str">
        <f>IF('CN-02'!B35="","",'CN-02'!B35)</f>
        <v/>
      </c>
      <c r="E8" s="13" t="str">
        <f>IF('CN-02'!B36="","",'CN-02'!B36)</f>
        <v/>
      </c>
      <c r="F8" s="3" t="str">
        <f>IF('CN-02'!B38="","",'CN-02'!B38)</f>
        <v/>
      </c>
      <c r="G8" s="3" t="str">
        <f>IF('CN-02'!B40="","",'CN-02'!B40)</f>
        <v/>
      </c>
    </row>
    <row r="9" spans="1:7" ht="42.95" customHeight="1">
      <c r="A9" s="2" t="s">
        <v>114</v>
      </c>
      <c r="B9" s="2" t="s">
        <v>115</v>
      </c>
      <c r="C9" s="2" t="str">
        <f>IF('CN-03'!B34="","",'CN-03'!B34)</f>
        <v/>
      </c>
      <c r="D9" s="2" t="str">
        <f>IF('CN-03'!B35="","",'CN-03'!B35)</f>
        <v/>
      </c>
      <c r="E9" s="12" t="str">
        <f>IF('CN-03'!B36="","",'CN-03'!B36)</f>
        <v/>
      </c>
      <c r="F9" s="2" t="str">
        <f>IF('CN-03'!B38="","",'CN-03'!B38)</f>
        <v/>
      </c>
      <c r="G9" s="2" t="str">
        <f>IF('CN-03'!B40="","",'CN-03'!B40)</f>
        <v/>
      </c>
    </row>
    <row r="10" spans="1:7" ht="42.95" customHeight="1">
      <c r="A10" s="3" t="s">
        <v>116</v>
      </c>
      <c r="B10" s="3" t="s">
        <v>117</v>
      </c>
      <c r="C10" s="3" t="str">
        <f>IF('CN-04'!B34="","",'CN-04'!B34)</f>
        <v/>
      </c>
      <c r="D10" s="3" t="str">
        <f>IF('CN-04'!B35="","",'CN-04'!B35)</f>
        <v/>
      </c>
      <c r="E10" s="13" t="str">
        <f>IF('CN-04'!B36="","",'CN-04'!B36)</f>
        <v/>
      </c>
      <c r="F10" s="3" t="str">
        <f>IF('CN-04'!B38="","",'CN-04'!B38)</f>
        <v/>
      </c>
      <c r="G10" s="3" t="str">
        <f>IF('CN-04'!B40="","",'CN-04'!B40)</f>
        <v/>
      </c>
    </row>
    <row r="12" spans="1:7" ht="14.25"/>
    <row r="13" spans="1:7" ht="14.25"/>
    <row r="14" spans="1:7" ht="14.25"/>
    <row r="15" spans="1:7" ht="14.25"/>
  </sheetData>
  <mergeCells count="2">
    <mergeCell ref="A1:G2"/>
    <mergeCell ref="A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Nelson Alvarez</cp:lastModifiedBy>
  <cp:revision/>
  <dcterms:created xsi:type="dcterms:W3CDTF">2026-10-18T01:29:21Z</dcterms:created>
  <dcterms:modified xsi:type="dcterms:W3CDTF">2026-10-18T20:10:43Z</dcterms:modified>
  <cp:category/>
  <cp:contentStatus/>
</cp:coreProperties>
</file>