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xr:revisionPtr revIDLastSave="48" documentId="11_7528BBD2C4697B61BEEFA1F79F007CFD9C56930F" xr6:coauthVersionLast="47" xr6:coauthVersionMax="47" xr10:uidLastSave="{5E675F0D-F26A-4A35-A307-B6A3D6F767B2}"/>
  <bookViews>
    <workbookView xWindow="0" yWindow="0" windowWidth="0" windowHeight="0" firstSheet="3" activeTab="4" xr2:uid="{00000000-000D-0000-FFFF-FFFF00000000}"/>
  </bookViews>
  <sheets>
    <sheet name="Guía y rúbrica" sheetId="1" r:id="rId1"/>
    <sheet name="DG-01" sheetId="2" r:id="rId2"/>
    <sheet name="DG-02" sheetId="3" r:id="rId3"/>
    <sheet name="DG-03" sheetId="4" r:id="rId4"/>
    <sheet name="Resumen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4" l="1" a="1"/>
  <c r="C29" i="4" a="1"/>
  <c r="C30" i="4" a="1"/>
  <c r="C31" i="4" a="1"/>
  <c r="C32" i="4" a="1"/>
  <c r="C27" i="4" a="1"/>
  <c r="C27" i="3" a="1"/>
  <c r="C28" i="3" a="1"/>
  <c r="C29" i="3" a="1"/>
  <c r="C30" i="3" a="1"/>
  <c r="C31" i="3" a="1"/>
  <c r="C32" i="3" a="1"/>
  <c r="C27" i="2" a="1"/>
  <c r="C28" i="2" a="1"/>
  <c r="C29" i="2" a="1"/>
  <c r="C30" i="2" a="1"/>
  <c r="C31" i="2" a="1"/>
  <c r="C32" i="2" a="1"/>
  <c r="G9" i="5"/>
  <c r="F9" i="5"/>
  <c r="G8" i="5"/>
  <c r="F8" i="5"/>
  <c r="G7" i="5"/>
  <c r="F7" i="5"/>
  <c r="B35" i="4"/>
  <c r="B34" i="4"/>
  <c r="C9" i="5" s="1"/>
  <c r="B35" i="3"/>
  <c r="B34" i="3"/>
  <c r="C8" i="5" s="1"/>
  <c r="B35" i="2"/>
  <c r="B34" i="2"/>
  <c r="C7" i="5" s="1"/>
  <c r="D9" i="5" l="1"/>
  <c r="B36" i="4"/>
  <c r="E9" i="5" s="1"/>
  <c r="D8" i="5"/>
  <c r="B36" i="3"/>
  <c r="E8" i="5" s="1"/>
  <c r="D7" i="5"/>
  <c r="B36" i="2"/>
  <c r="E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<sst xmlns="http://schemas.openxmlformats.org/spreadsheetml/2006/main" count="156" uniqueCount="95">
  <si>
    <t>VALIDACIÓN EXPERTA SG-SST  ·  MÓDULO 2 | DIAGNÓSTICO DE CUMPLIMIENTO</t>
  </si>
  <si>
    <t>INSTRUCCIONES PARA EVALUAR</t>
  </si>
  <si>
    <t>1. Escribir en las celdas AMARILLAS: resultado observado, evidencia, calificaciones y observaciones.</t>
  </si>
  <si>
    <t>2. Calificar el caso con cada criterio: 0, 1, 2, 3 o N/E (no evaluable). El Excel calcula el porcentaje.</t>
  </si>
  <si>
    <t>3. Marcar aparte cualquier error normativo crítico.</t>
  </si>
  <si>
    <t>4. Al terminar, la hoja "Resumen" mostrará los resultados registrados, sin reemplazar el juicio del experto.</t>
  </si>
  <si>
    <t>ALCANCE DEL MÓDULO 2: la pantalla inicial indica que el diagnóstico es para riesgo I y proporciona un acceso para consultar la clasificación en el Módulo 1. El formulario solicita nombre ficticio y cantidad de trabajadores; NO se exige seleccionar una clase de riesgo. Se evalúan 3 cuestionarios completos: 1–10, 11–50 y &gt;50 trabajadores.</t>
  </si>
  <si>
    <t>ESCALA DE VALORACIÓN</t>
  </si>
  <si>
    <t>0</t>
  </si>
  <si>
    <t>Incorrecto / incumple el criterio</t>
  </si>
  <si>
    <t>1</t>
  </si>
  <si>
    <t>Deficiencias importantes</t>
  </si>
  <si>
    <t>2</t>
  </si>
  <si>
    <t>Adecuado, con deficiencias menores</t>
  </si>
  <si>
    <t>3</t>
  </si>
  <si>
    <t>Correcto y completo</t>
  </si>
  <si>
    <t>N/E</t>
  </si>
  <si>
    <t>No evaluable en este caso; se excluye del máximo</t>
  </si>
  <si>
    <t>RÚBRICA — DESCRIPCIÓN DE CADA NIVEL</t>
  </si>
  <si>
    <t>Criterio</t>
  </si>
  <si>
    <t>0 | Incorrecto</t>
  </si>
  <si>
    <t>1 | Deficiencias graves</t>
  </si>
  <si>
    <t>2 | Deficiencias menores</t>
  </si>
  <si>
    <t>3 | Correcto</t>
  </si>
  <si>
    <t>Ejecución del cuestionario y perfil</t>
  </si>
  <si>
    <t>No puede completar el cuestionario o registra incorrectamente el perfil indicado.</t>
  </si>
  <si>
    <t>Presenta fallos importantes de avance, validación o continuidad.</t>
  </si>
  <si>
    <t>Completa el cuestionario con deficiencias menores.</t>
  </si>
  <si>
    <t>Completa todos los pasos del cuestionario y registra correctamente el perfil indicado.</t>
  </si>
  <si>
    <t>Selección y aplicabilidad de estándares</t>
  </si>
  <si>
    <t>Selecciona requisitos incompatibles o excluye requisitos obligatorios.</t>
  </si>
  <si>
    <t>Presenta errores importantes de aplicabilidad.</t>
  </si>
  <si>
    <t>La selección es correcta salvo omisiones menores.</t>
  </si>
  <si>
    <t>Selecciona los estándares correspondientes al perfil y trata correctamente los no aplicables.</t>
  </si>
  <si>
    <t>Interpretación de las respuestas declaradas</t>
  </si>
  <si>
    <t>Los estados contradicen los datos introducidos.</t>
  </si>
  <si>
    <t>Existen inconsistencias importantes en los estados asignados.</t>
  </si>
  <si>
    <t>Los estados son mayoritariamente coherentes, con errores menores.</t>
  </si>
  <si>
    <t>Los estados se derivan correctamente de las respuestas del caso.</t>
  </si>
  <si>
    <t>Tratamiento de información insuficiente</t>
  </si>
  <si>
    <t>Asume estados concluyentes sin datos suficientes.</t>
  </si>
  <si>
    <t>Maneja incorrectamente varias respuestas incompletas.</t>
  </si>
  <si>
    <t>Reconoce la insuficiencia con deficiencias menores.</t>
  </si>
  <si>
    <t>Identifica y comunica correctamente las situaciones de información insuficiente.</t>
  </si>
  <si>
    <t>Cálculo y valoración normativa</t>
  </si>
  <si>
    <t>Puntaje o valoración final incorrectos.</t>
  </si>
  <si>
    <t>Errores importantes en pesos, no aplicabilidad o clasificación.</t>
  </si>
  <si>
    <t>Cálculo y valoración correctos con deficiencias menores de presentación.</t>
  </si>
  <si>
    <t>Puntaje, tratamiento de no aplicabilidad y valoración final corresponden a la normativa y a los datos del caso.</t>
  </si>
  <si>
    <t>Informe final y trazabilidad</t>
  </si>
  <si>
    <t>El informe es incorrecto, no se genera cuando corresponde o no permite verificar el resultado.</t>
  </si>
  <si>
    <t>Omite información esencial o contiene errores importantes.</t>
  </si>
  <si>
    <t>Refleja el diagnóstico con omisiones menores.</t>
  </si>
  <si>
    <t>Refleja fielmente perfil, requisitos, estados, puntaje, valoración y fundamentos normativos.</t>
  </si>
  <si>
    <t>DG-01  |  Cuestionario de 1 a 10 trabajadores</t>
  </si>
  <si>
    <t>AZUL = preparado por el equipo   |   AMARILLO = completa el experto   |   Puntuación automática</t>
  </si>
  <si>
    <t>1 · CASO PREPARADO POR EL EQUIPO</t>
  </si>
  <si>
    <t>Objetivo del caso</t>
  </si>
  <si>
    <t>Cuestionario de 1 a 10 trabajadores</t>
  </si>
  <si>
    <t>Perfil empresarial</t>
  </si>
  <si>
    <t>Empresa ficticia de riesgo I; 5 trabajadores.</t>
  </si>
  <si>
    <t>Pasos que realizará el experto</t>
  </si>
  <si>
    <t>Leer la orientación inicial para riesgo I; seleccionar «Entiendo, comenzar»; registrar un nombre ficticio y 5 trabajadores; contestar el cuestionario completo; revisar matriz, puntaje, valoración e informe PDF.</t>
  </si>
  <si>
    <t>2 · REGISTRO DEL EXPERTO</t>
  </si>
  <si>
    <t>Resultado observado durante y al finalizar la prueba</t>
  </si>
  <si>
    <t>Evidencia o referencia revisada en el informe PDF</t>
  </si>
  <si>
    <t>3 · CALIFICACIÓN DEL CASO (SELECCIONE DE 0 A 3 O N/E)</t>
  </si>
  <si>
    <t>Puntaje</t>
  </si>
  <si>
    <t>Para saber qué significa cada puntuación, consulte «Guía y rúbrica».</t>
  </si>
  <si>
    <t>Puntos obtenidos</t>
  </si>
  <si>
    <t>El porcentaje se calcula solo con criterios valorados (0–3). N/E queda excluido. Un puntaje alto no elimina un fallo normativo grave.</t>
  </si>
  <si>
    <t>Máximo aplicable</t>
  </si>
  <si>
    <t>Porcentaje del caso</t>
  </si>
  <si>
    <t>Resultado del caso</t>
  </si>
  <si>
    <t>¿Error normativo crítico?</t>
  </si>
  <si>
    <t>Observaciones / recomendaciones</t>
  </si>
  <si>
    <t>DG-02  |  Cuestionario de 11 a 50 trabajadores</t>
  </si>
  <si>
    <t>Cuestionario de 11 a 50 trabajadores</t>
  </si>
  <si>
    <t>Empresa ficticia de riesgo I; 25 trabajadores.</t>
  </si>
  <si>
    <t>Leer la orientación inicial; iniciar diagnóstico; registrar un nombre ficticio y 25 trabajadores; contestar el cuestionario completo; revisar matriz, puntaje, valoración e informe PDF.</t>
  </si>
  <si>
    <t>DG-03  |  Cuestionario de más de 50 trabajadores</t>
  </si>
  <si>
    <t>Cuestionario de más de 50 trabajadores</t>
  </si>
  <si>
    <t>Empresa ficticia de riesgo I; 60 trabajadores.</t>
  </si>
  <si>
    <t>Leer la orientación inicial; iniciar diagnóstico; registrar un nombre ficticio y 60 trabajadores; contestar el cuestionario completo; revisar matriz, puntaje, valoración e informe PDF.</t>
  </si>
  <si>
    <t>RESUMEN DE VALIDACIÓN · MÓDULO 2 | DIAGNÓSTICO DE CUMPLIMIENTO</t>
  </si>
  <si>
    <t>Lectura automática de las hojas de caso. Los campos vacíos significan que el experto aún no ha calificado.</t>
  </si>
  <si>
    <t>Caso</t>
  </si>
  <si>
    <t>Escenario</t>
  </si>
  <si>
    <t>Obtenido</t>
  </si>
  <si>
    <t>Máximo</t>
  </si>
  <si>
    <t>Porcentaje</t>
  </si>
  <si>
    <t>Error crítico</t>
  </si>
  <si>
    <t>DG-01</t>
  </si>
  <si>
    <t>DG-02</t>
  </si>
  <si>
    <t>DG-03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</si>
</sst>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0"/>
      <color rgb="FF203449"/>
      <name val="Carlito"/>
    </font>
    <font>
      <sz val="10"/>
      <name val="Carlito"/>
    </font>
    <font>
      <b/>
      <sz val="10"/>
      <color rgb="FFFFFFFF"/>
      <name val="Carlito"/>
    </font>
    <font>
      <sz val="9"/>
      <color rgb="FF53697B"/>
      <name val="Carlito"/>
    </font>
    <font>
      <b/>
      <sz val="10"/>
      <name val="Carlito"/>
    </font>
    <font>
      <b/>
      <sz val="9"/>
      <color rgb="FFFFFFFF"/>
      <name val="Carlito"/>
    </font>
    <font>
      <sz val="9"/>
      <color rgb="FF203449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5334B"/>
      </patternFill>
    </fill>
    <fill>
      <patternFill patternType="solid">
        <fgColor rgb="FF176780"/>
      </patternFill>
    </fill>
    <fill>
      <patternFill patternType="solid">
        <fgColor rgb="FFF3F7FA"/>
      </patternFill>
    </fill>
    <fill>
      <patternFill patternType="solid">
        <fgColor rgb="FFFFFFFF"/>
      </patternFill>
    </fill>
    <fill>
      <patternFill patternType="solid">
        <fgColor rgb="FFE7F1F5"/>
      </patternFill>
    </fill>
    <fill>
      <patternFill patternType="solid">
        <fgColor rgb="FFFFF2C6"/>
      </patternFill>
    </fill>
    <fill>
      <patternFill patternType="solid">
        <fgColor rgb="FFDCEFE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6" borderId="1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0" fillId="4" borderId="1" xfId="0" applyNumberFormat="1" applyFont="1" applyFill="1" applyBorder="1" applyAlignment="1">
      <alignment wrapText="1"/>
    </xf>
    <xf numFmtId="0" fontId="0" fillId="5" borderId="1" xfId="0" applyNumberFormat="1" applyFont="1" applyFill="1" applyBorder="1" applyAlignment="1">
      <alignment wrapText="1"/>
    </xf>
    <xf numFmtId="0" fontId="4" fillId="0" borderId="1" xfId="0" applyNumberFormat="1" applyFont="1" applyFill="1" applyBorder="1"/>
    <xf numFmtId="0" fontId="7" fillId="6" borderId="1" xfId="0" applyNumberFormat="1" applyFont="1" applyFill="1" applyBorder="1"/>
    <xf numFmtId="0" fontId="5" fillId="2" borderId="1" xfId="0" applyNumberFormat="1" applyFont="1" applyFill="1" applyBorder="1"/>
    <xf numFmtId="0" fontId="4" fillId="4" borderId="1" xfId="0" applyNumberFormat="1" applyFont="1" applyFill="1" applyBorder="1" applyAlignment="1">
      <alignment wrapText="1"/>
    </xf>
    <xf numFmtId="0" fontId="4" fillId="7" borderId="1" xfId="0" applyNumberFormat="1" applyFont="1" applyFill="1" applyBorder="1"/>
    <xf numFmtId="0" fontId="4" fillId="6" borderId="1" xfId="0" applyNumberFormat="1" applyFont="1" applyFill="1" applyBorder="1" applyAlignment="1">
      <alignment wrapText="1"/>
    </xf>
    <xf numFmtId="0" fontId="4" fillId="8" borderId="1" xfId="0" applyNumberFormat="1" applyFont="1" applyFill="1" applyBorder="1"/>
    <xf numFmtId="164" fontId="4" fillId="8" borderId="1" xfId="0" applyNumberFormat="1" applyFont="1" applyFill="1" applyBorder="1"/>
    <xf numFmtId="0" fontId="1" fillId="3" borderId="1" xfId="0" applyNumberFormat="1" applyFont="1" applyFill="1" applyBorder="1"/>
    <xf numFmtId="164" fontId="0" fillId="4" borderId="1" xfId="0" applyNumberFormat="1" applyFont="1" applyFill="1" applyBorder="1" applyAlignment="1">
      <alignment wrapText="1"/>
    </xf>
    <xf numFmtId="164" fontId="0" fillId="5" borderId="1" xfId="0" applyNumberFormat="1" applyFont="1" applyFill="1" applyBorder="1" applyAlignment="1">
      <alignment wrapText="1"/>
    </xf>
    <xf numFmtId="0" fontId="2" fillId="2" borderId="1" xfId="0" applyNumberFormat="1" applyFont="1" applyFill="1" applyBorder="1" applyAlignment="1">
      <alignment vertical="center" wrapText="1"/>
    </xf>
    <xf numFmtId="0" fontId="6" fillId="4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vertical="center" wrapText="1"/>
    </xf>
    <xf numFmtId="0" fontId="3" fillId="7" borderId="1" xfId="0" applyNumberFormat="1" applyFont="1" applyFill="1" applyBorder="1" applyAlignment="1">
      <alignment vertical="center" wrapText="1"/>
    </xf>
    <xf numFmtId="0" fontId="8" fillId="2" borderId="1" xfId="0" applyNumberFormat="1" applyFont="1" applyFill="1" applyBorder="1" applyAlignment="1">
      <alignment vertical="center" wrapText="1"/>
    </xf>
    <xf numFmtId="0" fontId="9" fillId="4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vertical="center" wrapText="1"/>
    </xf>
    <xf numFmtId="0" fontId="3" fillId="6" borderId="1" xfId="0" applyNumberFormat="1" applyFont="1" applyFill="1" applyBorder="1" applyAlignment="1">
      <alignment vertical="center" wrapText="1"/>
    </xf>
    <xf numFmtId="0" fontId="10" fillId="4" borderId="1" xfId="0" applyNumberFormat="1" applyFont="1" applyFill="1" applyBorder="1" applyAlignment="1">
      <alignment wrapText="1"/>
    </xf>
    <xf numFmtId="0" fontId="10" fillId="5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pane ySplit="4" topLeftCell="A18" activePane="bottomLeft" state="frozen"/>
      <selection pane="bottomLeft" activeCell="B35" sqref="B35"/>
    </sheetView>
  </sheetViews>
  <sheetFormatPr defaultRowHeight="15"/>
  <cols>
    <col min="1" max="1" width="34" customWidth="1"/>
    <col min="2" max="5" width="39" customWidth="1"/>
  </cols>
  <sheetData>
    <row r="1" spans="1:5" ht="14.25">
      <c r="A1" s="23" t="s">
        <v>0</v>
      </c>
      <c r="B1" s="23"/>
      <c r="C1" s="23"/>
      <c r="D1" s="23"/>
      <c r="E1" s="23"/>
    </row>
    <row r="2" spans="1:5" ht="14.25">
      <c r="A2" s="23"/>
      <c r="B2" s="23"/>
      <c r="C2" s="23"/>
      <c r="D2" s="23"/>
      <c r="E2" s="23"/>
    </row>
    <row r="4" spans="1:5">
      <c r="A4" s="18" t="s">
        <v>1</v>
      </c>
      <c r="B4" s="18"/>
      <c r="C4" s="18"/>
      <c r="D4" s="18"/>
      <c r="E4" s="18"/>
    </row>
    <row r="5" spans="1:5" ht="14.25"/>
    <row r="6" spans="1:5" ht="36.950000000000003" customHeight="1">
      <c r="A6" s="19" t="s">
        <v>2</v>
      </c>
      <c r="B6" s="19"/>
      <c r="C6" s="19"/>
      <c r="D6" s="19"/>
      <c r="E6" s="19"/>
    </row>
    <row r="7" spans="1:5" ht="36.950000000000003" customHeight="1">
      <c r="A7" s="24" t="s">
        <v>3</v>
      </c>
      <c r="B7" s="24"/>
      <c r="C7" s="24"/>
      <c r="D7" s="24"/>
      <c r="E7" s="24"/>
    </row>
    <row r="8" spans="1:5" ht="36.950000000000003" customHeight="1">
      <c r="A8" s="19" t="s">
        <v>4</v>
      </c>
      <c r="B8" s="19"/>
      <c r="C8" s="19"/>
      <c r="D8" s="19"/>
      <c r="E8" s="19"/>
    </row>
    <row r="9" spans="1:5" ht="36.950000000000003" customHeight="1">
      <c r="A9" s="24" t="s">
        <v>5</v>
      </c>
      <c r="B9" s="24"/>
      <c r="C9" s="24"/>
      <c r="D9" s="24"/>
      <c r="E9" s="24"/>
    </row>
    <row r="11" spans="1:5" ht="44.1" customHeight="1">
      <c r="A11" s="25" t="s">
        <v>6</v>
      </c>
      <c r="B11" s="25"/>
      <c r="C11" s="25"/>
      <c r="D11" s="25"/>
      <c r="E11" s="25"/>
    </row>
    <row r="12" spans="1:5" ht="44.1" customHeight="1">
      <c r="A12" s="25"/>
      <c r="B12" s="25"/>
      <c r="C12" s="25"/>
      <c r="D12" s="25"/>
      <c r="E12" s="25"/>
    </row>
    <row r="14" spans="1:5">
      <c r="A14" s="18" t="s">
        <v>7</v>
      </c>
      <c r="B14" s="18"/>
      <c r="C14" s="18"/>
      <c r="D14" s="18"/>
      <c r="E14" s="18"/>
    </row>
    <row r="16" spans="1:5" ht="26.1" customHeight="1">
      <c r="A16" s="1" t="s">
        <v>8</v>
      </c>
      <c r="B16" s="24" t="s">
        <v>9</v>
      </c>
      <c r="C16" s="24"/>
      <c r="D16" s="24"/>
      <c r="E16" s="24"/>
    </row>
    <row r="17" spans="1:5" ht="26.1" customHeight="1">
      <c r="A17" s="1" t="s">
        <v>10</v>
      </c>
      <c r="B17" s="24" t="s">
        <v>11</v>
      </c>
      <c r="C17" s="24"/>
      <c r="D17" s="24"/>
      <c r="E17" s="24"/>
    </row>
    <row r="18" spans="1:5" ht="26.1" customHeight="1">
      <c r="A18" s="1" t="s">
        <v>12</v>
      </c>
      <c r="B18" s="24" t="s">
        <v>13</v>
      </c>
      <c r="C18" s="24"/>
      <c r="D18" s="24"/>
      <c r="E18" s="24"/>
    </row>
    <row r="19" spans="1:5" ht="26.1" customHeight="1">
      <c r="A19" s="1" t="s">
        <v>14</v>
      </c>
      <c r="B19" s="24" t="s">
        <v>15</v>
      </c>
      <c r="C19" s="24"/>
      <c r="D19" s="24"/>
      <c r="E19" s="24"/>
    </row>
    <row r="20" spans="1:5" ht="26.1" customHeight="1">
      <c r="A20" s="1" t="s">
        <v>16</v>
      </c>
      <c r="B20" s="24" t="s">
        <v>17</v>
      </c>
      <c r="C20" s="24"/>
      <c r="D20" s="24"/>
      <c r="E20" s="24"/>
    </row>
    <row r="23" spans="1:5">
      <c r="A23" s="18" t="s">
        <v>18</v>
      </c>
      <c r="B23" s="18"/>
      <c r="C23" s="18"/>
      <c r="D23" s="18"/>
      <c r="E23" s="18"/>
    </row>
    <row r="24" spans="1:5" ht="36.950000000000003" customHeight="1">
      <c r="A24" s="2" t="s">
        <v>19</v>
      </c>
      <c r="B24" s="2" t="s">
        <v>20</v>
      </c>
      <c r="C24" s="2" t="s">
        <v>21</v>
      </c>
      <c r="D24" s="2" t="s">
        <v>22</v>
      </c>
      <c r="E24" s="2" t="s">
        <v>23</v>
      </c>
    </row>
    <row r="25" spans="1:5" ht="51.75" customHeight="1">
      <c r="A25" s="26" t="s">
        <v>24</v>
      </c>
      <c r="B25" s="3" t="s">
        <v>25</v>
      </c>
      <c r="C25" s="3" t="s">
        <v>26</v>
      </c>
      <c r="D25" s="3" t="s">
        <v>27</v>
      </c>
      <c r="E25" s="3" t="s">
        <v>28</v>
      </c>
    </row>
    <row r="26" spans="1:5" ht="47.25" customHeight="1">
      <c r="A26" s="27" t="s">
        <v>29</v>
      </c>
      <c r="B26" s="4" t="s">
        <v>30</v>
      </c>
      <c r="C26" s="4" t="s">
        <v>31</v>
      </c>
      <c r="D26" s="4" t="s">
        <v>32</v>
      </c>
      <c r="E26" s="4" t="s">
        <v>33</v>
      </c>
    </row>
    <row r="27" spans="1:5" ht="47.25" customHeight="1">
      <c r="A27" s="26" t="s">
        <v>34</v>
      </c>
      <c r="B27" s="3" t="s">
        <v>35</v>
      </c>
      <c r="C27" s="3" t="s">
        <v>36</v>
      </c>
      <c r="D27" s="3" t="s">
        <v>37</v>
      </c>
      <c r="E27" s="3" t="s">
        <v>38</v>
      </c>
    </row>
    <row r="28" spans="1:5" ht="51.75" customHeight="1">
      <c r="A28" s="27" t="s">
        <v>39</v>
      </c>
      <c r="B28" s="4" t="s">
        <v>40</v>
      </c>
      <c r="C28" s="4" t="s">
        <v>41</v>
      </c>
      <c r="D28" s="4" t="s">
        <v>42</v>
      </c>
      <c r="E28" s="4" t="s">
        <v>43</v>
      </c>
    </row>
    <row r="29" spans="1:5" ht="47.25" customHeight="1">
      <c r="A29" s="26" t="s">
        <v>44</v>
      </c>
      <c r="B29" s="3" t="s">
        <v>45</v>
      </c>
      <c r="C29" s="3" t="s">
        <v>46</v>
      </c>
      <c r="D29" s="3" t="s">
        <v>47</v>
      </c>
      <c r="E29" s="3" t="s">
        <v>48</v>
      </c>
    </row>
    <row r="30" spans="1:5" ht="47.25" customHeight="1">
      <c r="A30" s="27" t="s">
        <v>49</v>
      </c>
      <c r="B30" s="4" t="s">
        <v>50</v>
      </c>
      <c r="C30" s="4" t="s">
        <v>51</v>
      </c>
      <c r="D30" s="4" t="s">
        <v>52</v>
      </c>
      <c r="E30" s="4" t="s">
        <v>53</v>
      </c>
    </row>
    <row r="31" spans="1:5" ht="14.25"/>
    <row r="32" spans="1:5" ht="14.25"/>
    <row r="33" ht="14.25"/>
    <row r="34" ht="14.25"/>
  </sheetData>
  <mergeCells count="14">
    <mergeCell ref="A9:E9"/>
    <mergeCell ref="A11:E12"/>
    <mergeCell ref="A14:E14"/>
    <mergeCell ref="A23:E23"/>
    <mergeCell ref="B16:E16"/>
    <mergeCell ref="B17:E17"/>
    <mergeCell ref="B18:E18"/>
    <mergeCell ref="B19:E19"/>
    <mergeCell ref="B20:E20"/>
    <mergeCell ref="A1:E2"/>
    <mergeCell ref="A4:E4"/>
    <mergeCell ref="A6:E6"/>
    <mergeCell ref="A7:E7"/>
    <mergeCell ref="A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workbookViewId="0">
      <pane ySplit="3" topLeftCell="A26" activePane="bottomLeft" state="frozen"/>
      <selection pane="bottomLeft" activeCell="K29" sqref="K29"/>
    </sheetView>
  </sheetViews>
  <sheetFormatPr defaultRowHeight="15"/>
  <cols>
    <col min="1" max="1" width="36" customWidth="1"/>
    <col min="2" max="2" width="17" customWidth="1"/>
    <col min="3" max="6" width="18" customWidth="1"/>
  </cols>
  <sheetData>
    <row r="1" spans="1:6">
      <c r="A1" s="16" t="s">
        <v>54</v>
      </c>
      <c r="B1" s="16"/>
      <c r="C1" s="16"/>
      <c r="D1" s="16"/>
      <c r="E1" s="16"/>
      <c r="F1" s="16"/>
    </row>
    <row r="2" spans="1:6">
      <c r="A2" s="16"/>
      <c r="B2" s="16"/>
      <c r="C2" s="16"/>
      <c r="D2" s="16"/>
      <c r="E2" s="16"/>
      <c r="F2" s="16"/>
    </row>
    <row r="3" spans="1:6" ht="29.1" customHeight="1">
      <c r="A3" s="17" t="s">
        <v>55</v>
      </c>
      <c r="B3" s="17"/>
      <c r="C3" s="17"/>
      <c r="D3" s="17"/>
      <c r="E3" s="17"/>
      <c r="F3" s="17"/>
    </row>
    <row r="4" spans="1:6">
      <c r="A4" s="5"/>
      <c r="B4" s="5"/>
      <c r="C4" s="5"/>
      <c r="D4" s="5"/>
      <c r="E4" s="5"/>
      <c r="F4" s="5"/>
    </row>
    <row r="5" spans="1:6">
      <c r="A5" s="18" t="s">
        <v>56</v>
      </c>
      <c r="B5" s="18"/>
      <c r="C5" s="18"/>
      <c r="D5" s="18"/>
      <c r="E5" s="18"/>
      <c r="F5" s="18"/>
    </row>
    <row r="6" spans="1:6">
      <c r="A6" s="5"/>
      <c r="B6" s="5"/>
      <c r="C6" s="5"/>
      <c r="D6" s="5"/>
      <c r="E6" s="5"/>
      <c r="F6" s="5"/>
    </row>
    <row r="7" spans="1:6" ht="33" customHeight="1">
      <c r="A7" s="6" t="s">
        <v>57</v>
      </c>
      <c r="B7" s="19" t="s">
        <v>58</v>
      </c>
      <c r="C7" s="19"/>
      <c r="D7" s="19"/>
      <c r="E7" s="19"/>
      <c r="F7" s="19"/>
    </row>
    <row r="8" spans="1:6" ht="33" customHeight="1">
      <c r="A8" s="5"/>
      <c r="B8" s="19"/>
      <c r="C8" s="19"/>
      <c r="D8" s="19"/>
      <c r="E8" s="19"/>
      <c r="F8" s="19"/>
    </row>
    <row r="9" spans="1:6" ht="35.1" customHeight="1">
      <c r="A9" s="6" t="s">
        <v>59</v>
      </c>
      <c r="B9" s="19" t="s">
        <v>60</v>
      </c>
      <c r="C9" s="19"/>
      <c r="D9" s="19"/>
      <c r="E9" s="19"/>
      <c r="F9" s="19"/>
    </row>
    <row r="10" spans="1:6" ht="35.1" customHeight="1">
      <c r="A10" s="5"/>
      <c r="B10" s="19"/>
      <c r="C10" s="19"/>
      <c r="D10" s="19"/>
      <c r="E10" s="19"/>
      <c r="F10" s="19"/>
    </row>
    <row r="11" spans="1:6" ht="59.1" customHeight="1">
      <c r="A11" s="6" t="s">
        <v>61</v>
      </c>
      <c r="B11" s="19" t="s">
        <v>62</v>
      </c>
      <c r="C11" s="19"/>
      <c r="D11" s="19"/>
      <c r="E11" s="19"/>
      <c r="F11" s="19"/>
    </row>
    <row r="12" spans="1:6" ht="59.1" customHeight="1">
      <c r="A12" s="5"/>
      <c r="B12" s="19"/>
      <c r="C12" s="19"/>
      <c r="D12" s="19"/>
      <c r="E12" s="19"/>
      <c r="F12" s="19"/>
    </row>
    <row r="13" spans="1:6" ht="14.25">
      <c r="A13" s="5"/>
      <c r="B13" s="5"/>
      <c r="C13" s="5"/>
      <c r="D13" s="5"/>
      <c r="E13" s="5"/>
      <c r="F13" s="5"/>
    </row>
    <row r="14" spans="1:6" ht="14.25">
      <c r="A14" s="5"/>
      <c r="B14" s="5"/>
      <c r="C14" s="5"/>
      <c r="D14" s="5"/>
      <c r="E14" s="5"/>
      <c r="F14" s="5"/>
    </row>
    <row r="15" spans="1:6" ht="14.25">
      <c r="A15" s="5"/>
      <c r="B15" s="5"/>
      <c r="C15" s="5"/>
      <c r="D15" s="5"/>
      <c r="E15" s="5"/>
      <c r="F15" s="5"/>
    </row>
    <row r="16" spans="1:6">
      <c r="A16" s="18" t="s">
        <v>63</v>
      </c>
      <c r="B16" s="18"/>
      <c r="C16" s="18"/>
      <c r="D16" s="18"/>
      <c r="E16" s="18"/>
      <c r="F16" s="18"/>
    </row>
    <row r="17" spans="1:6">
      <c r="A17" s="5"/>
      <c r="B17" s="5"/>
      <c r="C17" s="5"/>
      <c r="D17" s="5"/>
      <c r="E17" s="5"/>
      <c r="F17" s="5"/>
    </row>
    <row r="18" spans="1:6" ht="54" customHeight="1">
      <c r="A18" s="6" t="s">
        <v>64</v>
      </c>
      <c r="B18" s="20"/>
      <c r="C18" s="20"/>
      <c r="D18" s="20"/>
      <c r="E18" s="20"/>
      <c r="F18" s="20"/>
    </row>
    <row r="19" spans="1:6" ht="54" customHeight="1">
      <c r="A19" s="5"/>
      <c r="B19" s="20"/>
      <c r="C19" s="20"/>
      <c r="D19" s="20"/>
      <c r="E19" s="20"/>
      <c r="F19" s="20"/>
    </row>
    <row r="20" spans="1:6" ht="54" customHeight="1">
      <c r="A20" s="5"/>
      <c r="B20" s="20"/>
      <c r="C20" s="20"/>
      <c r="D20" s="20"/>
      <c r="E20" s="20"/>
      <c r="F20" s="20"/>
    </row>
    <row r="21" spans="1:6" ht="45" customHeight="1">
      <c r="A21" s="6" t="s">
        <v>65</v>
      </c>
      <c r="B21" s="20"/>
      <c r="C21" s="20"/>
      <c r="D21" s="20"/>
      <c r="E21" s="20"/>
      <c r="F21" s="20"/>
    </row>
    <row r="22" spans="1:6" ht="45" customHeight="1">
      <c r="A22" s="5"/>
      <c r="B22" s="20"/>
      <c r="C22" s="20"/>
      <c r="D22" s="20"/>
      <c r="E22" s="20"/>
      <c r="F22" s="20"/>
    </row>
    <row r="23" spans="1:6" ht="45" customHeight="1">
      <c r="A23" s="5"/>
      <c r="B23" s="20"/>
      <c r="C23" s="20"/>
      <c r="D23" s="20"/>
      <c r="E23" s="20"/>
      <c r="F23" s="20"/>
    </row>
    <row r="24" spans="1:6">
      <c r="A24" s="5"/>
      <c r="B24" s="5"/>
      <c r="C24" s="5"/>
      <c r="D24" s="5"/>
      <c r="E24" s="5"/>
      <c r="F24" s="5"/>
    </row>
    <row r="25" spans="1:6">
      <c r="A25" s="18" t="s">
        <v>66</v>
      </c>
      <c r="B25" s="18"/>
      <c r="C25" s="18"/>
      <c r="D25" s="18"/>
      <c r="E25" s="18"/>
      <c r="F25" s="18"/>
    </row>
    <row r="26" spans="1:6" ht="29.1" customHeight="1">
      <c r="A26" s="7" t="s">
        <v>19</v>
      </c>
      <c r="B26" s="7" t="s">
        <v>67</v>
      </c>
      <c r="C26" s="21" t="s">
        <v>68</v>
      </c>
      <c r="D26" s="21"/>
      <c r="E26" s="21"/>
      <c r="F26" s="21"/>
    </row>
    <row r="27" spans="1:6" ht="56.1" customHeight="1">
      <c r="A27" s="8" t="s">
        <v>24</v>
      </c>
      <c r="B27" s="9"/>
      <c r="C27" s="22" t="str" cm="1">
        <f t="array" ref="C27">IF(B27="","Esperando Puntación...",_xlfn.IFS(B27=0,'Guía y rúbrica'!B25,B27=1,'Guía y rúbrica'!C25,B27=2,'Guía y rúbrica'!D25,B27=3,'Guía y rúbrica'!E25,B27="N/E","No evaluable"))</f>
        <v>Esperando Puntación...</v>
      </c>
      <c r="D27" s="22"/>
      <c r="E27" s="22"/>
      <c r="F27" s="22"/>
    </row>
    <row r="28" spans="1:6" ht="56.1" customHeight="1">
      <c r="A28" s="10" t="s">
        <v>29</v>
      </c>
      <c r="B28" s="9"/>
      <c r="C28" s="22" t="str" cm="1">
        <f t="array" ref="C28">IF(B28="","Esperando Puntación...",_xlfn.IFS(B28=0,'Guía y rúbrica'!B26,B28=1,'Guía y rúbrica'!C26,B28=2,'Guía y rúbrica'!D26,B28=3,'Guía y rúbrica'!E26,B28="N/E","No evaluable"))</f>
        <v>Esperando Puntación...</v>
      </c>
      <c r="D28" s="22"/>
      <c r="E28" s="22"/>
      <c r="F28" s="22"/>
    </row>
    <row r="29" spans="1:6" ht="56.1" customHeight="1">
      <c r="A29" s="8" t="s">
        <v>34</v>
      </c>
      <c r="B29" s="9"/>
      <c r="C29" s="22" t="str" cm="1">
        <f t="array" ref="C29">IF(B29="","Esperando Puntación...",_xlfn.IFS(B29=0,'Guía y rúbrica'!B27,B29=1,'Guía y rúbrica'!C27,B29=2,'Guía y rúbrica'!D27,B29=3,'Guía y rúbrica'!E27,B29="N/E","No evaluable"))</f>
        <v>Esperando Puntación...</v>
      </c>
      <c r="D29" s="22"/>
      <c r="E29" s="22"/>
      <c r="F29" s="22"/>
    </row>
    <row r="30" spans="1:6" ht="56.1" customHeight="1">
      <c r="A30" s="10" t="s">
        <v>39</v>
      </c>
      <c r="B30" s="9"/>
      <c r="C30" s="22" t="str" cm="1">
        <f t="array" ref="C30">IF(B30="","Esperando Puntación...",_xlfn.IFS(B30=0,'Guía y rúbrica'!B28,B30=1,'Guía y rúbrica'!C28,B30=2,'Guía y rúbrica'!D28,B30=3,'Guía y rúbrica'!E28,B30="N/E","No evaluable"))</f>
        <v>Esperando Puntación...</v>
      </c>
      <c r="D30" s="22"/>
      <c r="E30" s="22"/>
      <c r="F30" s="22"/>
    </row>
    <row r="31" spans="1:6" ht="56.1" customHeight="1">
      <c r="A31" s="8" t="s">
        <v>44</v>
      </c>
      <c r="B31" s="9"/>
      <c r="C31" s="22" t="str" cm="1">
        <f t="array" ref="C31">IF(B31="","Esperando Puntación...",_xlfn.IFS(B31=0,'Guía y rúbrica'!B29,B31=1,'Guía y rúbrica'!C29,B31=2,'Guía y rúbrica'!D29,B31=3,'Guía y rúbrica'!E29,B31="N/E","No evaluable"))</f>
        <v>Esperando Puntación...</v>
      </c>
      <c r="D31" s="22"/>
      <c r="E31" s="22"/>
      <c r="F31" s="22"/>
    </row>
    <row r="32" spans="1:6" ht="56.1" customHeight="1">
      <c r="A32" s="10" t="s">
        <v>49</v>
      </c>
      <c r="B32" s="9"/>
      <c r="C32" s="22" t="str" cm="1">
        <f t="array" ref="C32">IF(B32="","Esperando Puntación...",_xlfn.IFS(B32=0,'Guía y rúbrica'!B30,B32=1,'Guía y rúbrica'!C30,B32=2,'Guía y rúbrica'!D30,B32=3,'Guía y rúbrica'!E30,B32="N/E","No evaluable"))</f>
        <v>Esperando Puntación...</v>
      </c>
      <c r="D32" s="22"/>
      <c r="E32" s="22"/>
      <c r="F32" s="22"/>
    </row>
    <row r="33" spans="1:6" ht="14.25">
      <c r="A33" s="5"/>
      <c r="B33" s="5"/>
      <c r="C33" s="5"/>
      <c r="D33" s="5"/>
      <c r="E33" s="5"/>
      <c r="F33" s="5"/>
    </row>
    <row r="34" spans="1:6" ht="24.95" customHeight="1">
      <c r="A34" s="6" t="s">
        <v>69</v>
      </c>
      <c r="B34" s="11" t="str">
        <f>IF(COUNT(B27:B32)=0,"",SUM(B27:B32))</f>
        <v/>
      </c>
      <c r="C34" s="22" t="s">
        <v>70</v>
      </c>
      <c r="D34" s="22"/>
      <c r="E34" s="22"/>
      <c r="F34" s="22"/>
    </row>
    <row r="35" spans="1:6" ht="24.95" customHeight="1">
      <c r="A35" s="6" t="s">
        <v>71</v>
      </c>
      <c r="B35" s="11" t="str">
        <f>IF(COUNT(B27:B32)=0,"",3*COUNT(B27:B32))</f>
        <v/>
      </c>
      <c r="C35" s="22"/>
      <c r="D35" s="22"/>
      <c r="E35" s="22"/>
      <c r="F35" s="22"/>
    </row>
    <row r="36" spans="1:6" ht="24.95" customHeight="1">
      <c r="A36" s="6" t="s">
        <v>72</v>
      </c>
      <c r="B36" s="12" t="str">
        <f>IF(OR(B35="",B35=0),"",B34/B35)</f>
        <v/>
      </c>
      <c r="C36" s="22"/>
      <c r="D36" s="22"/>
      <c r="E36" s="22"/>
      <c r="F36" s="22"/>
    </row>
    <row r="37" spans="1:6">
      <c r="A37" s="5"/>
      <c r="B37" s="5"/>
      <c r="C37" s="5"/>
      <c r="D37" s="5"/>
      <c r="E37" s="5"/>
      <c r="F37" s="5"/>
    </row>
    <row r="38" spans="1:6" ht="30.95" customHeight="1">
      <c r="A38" s="6" t="s">
        <v>73</v>
      </c>
      <c r="B38" s="20"/>
      <c r="C38" s="20"/>
      <c r="D38" s="20"/>
      <c r="E38" s="20"/>
      <c r="F38" s="20"/>
    </row>
    <row r="39" spans="1:6" ht="30.95" customHeight="1">
      <c r="A39" s="5"/>
      <c r="B39" s="20"/>
      <c r="C39" s="20"/>
      <c r="D39" s="20"/>
      <c r="E39" s="20"/>
      <c r="F39" s="20"/>
    </row>
    <row r="40" spans="1:6" ht="30.95" customHeight="1">
      <c r="A40" s="6" t="s">
        <v>74</v>
      </c>
      <c r="B40" s="20"/>
      <c r="C40" s="20"/>
      <c r="D40" s="20"/>
      <c r="E40" s="20"/>
      <c r="F40" s="20"/>
    </row>
    <row r="41" spans="1:6" ht="30.95" customHeight="1">
      <c r="A41" s="5"/>
      <c r="B41" s="20"/>
      <c r="C41" s="20"/>
      <c r="D41" s="20"/>
      <c r="E41" s="20"/>
      <c r="F41" s="20"/>
    </row>
    <row r="42" spans="1:6" ht="50.1" customHeight="1">
      <c r="A42" s="6" t="s">
        <v>75</v>
      </c>
      <c r="B42" s="20"/>
      <c r="C42" s="20"/>
      <c r="D42" s="20"/>
      <c r="E42" s="20"/>
      <c r="F42" s="20"/>
    </row>
    <row r="43" spans="1:6" ht="50.1" customHeight="1">
      <c r="A43" s="5"/>
      <c r="B43" s="20"/>
      <c r="C43" s="20"/>
      <c r="D43" s="20"/>
      <c r="E43" s="20"/>
      <c r="F43" s="20"/>
    </row>
    <row r="44" spans="1:6">
      <c r="A44" s="5"/>
      <c r="B44" s="5"/>
      <c r="C44" s="5"/>
      <c r="D44" s="5"/>
      <c r="E44" s="5"/>
      <c r="F44" s="5"/>
    </row>
    <row r="45" spans="1:6" ht="14.25"/>
    <row r="46" spans="1:6" ht="14.25"/>
    <row r="47" spans="1:6" ht="14.25"/>
    <row r="48" spans="1:6" ht="14.25"/>
  </sheetData>
  <mergeCells count="21">
    <mergeCell ref="B40:F41"/>
    <mergeCell ref="B42:F43"/>
    <mergeCell ref="C29:F29"/>
    <mergeCell ref="C30:F30"/>
    <mergeCell ref="C31:F31"/>
    <mergeCell ref="C32:F32"/>
    <mergeCell ref="C34:F36"/>
    <mergeCell ref="A25:F25"/>
    <mergeCell ref="C26:F26"/>
    <mergeCell ref="C27:F27"/>
    <mergeCell ref="C28:F28"/>
    <mergeCell ref="B38:F39"/>
    <mergeCell ref="B11:F12"/>
    <mergeCell ref="A16:F16"/>
    <mergeCell ref="B18:F20"/>
    <mergeCell ref="B21:F23"/>
    <mergeCell ref="A1:F2"/>
    <mergeCell ref="A3:F3"/>
    <mergeCell ref="A5:F5"/>
    <mergeCell ref="B7:F8"/>
    <mergeCell ref="B9:F10"/>
  </mergeCells>
  <dataValidations count="3">
    <dataValidation type="list" sqref="B27:B32" xr:uid="{00000000-0002-0000-0100-000000000000}">
      <formula1>"0,1,2,3,N/E"</formula1>
    </dataValidation>
    <dataValidation type="list" sqref="B38" xr:uid="{00000000-0002-0000-0100-000006000000}">
      <formula1>"Cumplido,Parcialmente cumplido,No cumplido,No evaluable"</formula1>
    </dataValidation>
    <dataValidation type="list" sqref="B40" xr:uid="{00000000-0002-0000-0100-000007000000}">
      <formula1>"Sí,No,Por determinar"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>
      <pane ySplit="3" topLeftCell="A26" activePane="bottomLeft" state="frozen"/>
      <selection pane="bottomLeft" activeCell="C27" sqref="C27:F27"/>
    </sheetView>
  </sheetViews>
  <sheetFormatPr defaultRowHeight="15"/>
  <cols>
    <col min="1" max="1" width="36" customWidth="1"/>
    <col min="2" max="2" width="17" customWidth="1"/>
    <col min="3" max="6" width="18" customWidth="1"/>
  </cols>
  <sheetData>
    <row r="1" spans="1:6">
      <c r="A1" s="16" t="s">
        <v>76</v>
      </c>
      <c r="B1" s="16"/>
      <c r="C1" s="16"/>
      <c r="D1" s="16"/>
      <c r="E1" s="16"/>
      <c r="F1" s="16"/>
    </row>
    <row r="2" spans="1:6">
      <c r="A2" s="16"/>
      <c r="B2" s="16"/>
      <c r="C2" s="16"/>
      <c r="D2" s="16"/>
      <c r="E2" s="16"/>
      <c r="F2" s="16"/>
    </row>
    <row r="3" spans="1:6" ht="29.1" customHeight="1">
      <c r="A3" s="17" t="s">
        <v>55</v>
      </c>
      <c r="B3" s="17"/>
      <c r="C3" s="17"/>
      <c r="D3" s="17"/>
      <c r="E3" s="17"/>
      <c r="F3" s="17"/>
    </row>
    <row r="4" spans="1:6">
      <c r="A4" s="5"/>
      <c r="B4" s="5"/>
      <c r="C4" s="5"/>
      <c r="D4" s="5"/>
      <c r="E4" s="5"/>
      <c r="F4" s="5"/>
    </row>
    <row r="5" spans="1:6">
      <c r="A5" s="18" t="s">
        <v>56</v>
      </c>
      <c r="B5" s="18"/>
      <c r="C5" s="18"/>
      <c r="D5" s="18"/>
      <c r="E5" s="18"/>
      <c r="F5" s="18"/>
    </row>
    <row r="6" spans="1:6">
      <c r="A6" s="5"/>
      <c r="B6" s="5"/>
      <c r="C6" s="5"/>
      <c r="D6" s="5"/>
      <c r="E6" s="5"/>
      <c r="F6" s="5"/>
    </row>
    <row r="7" spans="1:6" ht="33" customHeight="1">
      <c r="A7" s="6" t="s">
        <v>57</v>
      </c>
      <c r="B7" s="19" t="s">
        <v>77</v>
      </c>
      <c r="C7" s="19"/>
      <c r="D7" s="19"/>
      <c r="E7" s="19"/>
      <c r="F7" s="19"/>
    </row>
    <row r="8" spans="1:6" ht="33" customHeight="1">
      <c r="A8" s="5"/>
      <c r="B8" s="19"/>
      <c r="C8" s="19"/>
      <c r="D8" s="19"/>
      <c r="E8" s="19"/>
      <c r="F8" s="19"/>
    </row>
    <row r="9" spans="1:6" ht="35.1" customHeight="1">
      <c r="A9" s="6" t="s">
        <v>59</v>
      </c>
      <c r="B9" s="19" t="s">
        <v>78</v>
      </c>
      <c r="C9" s="19"/>
      <c r="D9" s="19"/>
      <c r="E9" s="19"/>
      <c r="F9" s="19"/>
    </row>
    <row r="10" spans="1:6" ht="35.1" customHeight="1">
      <c r="A10" s="5"/>
      <c r="B10" s="19"/>
      <c r="C10" s="19"/>
      <c r="D10" s="19"/>
      <c r="E10" s="19"/>
      <c r="F10" s="19"/>
    </row>
    <row r="11" spans="1:6" ht="59.1" customHeight="1">
      <c r="A11" s="6" t="s">
        <v>61</v>
      </c>
      <c r="B11" s="19" t="s">
        <v>79</v>
      </c>
      <c r="C11" s="19"/>
      <c r="D11" s="19"/>
      <c r="E11" s="19"/>
      <c r="F11" s="19"/>
    </row>
    <row r="12" spans="1:6" ht="59.1" customHeight="1">
      <c r="A12" s="5"/>
      <c r="B12" s="19"/>
      <c r="C12" s="19"/>
      <c r="D12" s="19"/>
      <c r="E12" s="19"/>
      <c r="F12" s="19"/>
    </row>
    <row r="13" spans="1:6" ht="14.25">
      <c r="A13" s="5"/>
      <c r="B13" s="5"/>
      <c r="C13" s="5"/>
      <c r="D13" s="5"/>
      <c r="E13" s="5"/>
      <c r="F13" s="5"/>
    </row>
    <row r="14" spans="1:6" ht="14.25">
      <c r="A14" s="5"/>
      <c r="B14" s="5"/>
      <c r="C14" s="5"/>
      <c r="D14" s="5"/>
      <c r="E14" s="5"/>
      <c r="F14" s="5"/>
    </row>
    <row r="15" spans="1:6" ht="14.25">
      <c r="A15" s="5"/>
      <c r="B15" s="5"/>
      <c r="C15" s="5"/>
      <c r="D15" s="5"/>
      <c r="E15" s="5"/>
      <c r="F15" s="5"/>
    </row>
    <row r="16" spans="1:6">
      <c r="A16" s="18" t="s">
        <v>63</v>
      </c>
      <c r="B16" s="18"/>
      <c r="C16" s="18"/>
      <c r="D16" s="18"/>
      <c r="E16" s="18"/>
      <c r="F16" s="18"/>
    </row>
    <row r="17" spans="1:6">
      <c r="A17" s="5"/>
      <c r="B17" s="5"/>
      <c r="C17" s="5"/>
      <c r="D17" s="5"/>
      <c r="E17" s="5"/>
      <c r="F17" s="5"/>
    </row>
    <row r="18" spans="1:6" ht="54" customHeight="1">
      <c r="A18" s="6" t="s">
        <v>64</v>
      </c>
      <c r="B18" s="20"/>
      <c r="C18" s="20"/>
      <c r="D18" s="20"/>
      <c r="E18" s="20"/>
      <c r="F18" s="20"/>
    </row>
    <row r="19" spans="1:6" ht="54" customHeight="1">
      <c r="A19" s="5"/>
      <c r="B19" s="20"/>
      <c r="C19" s="20"/>
      <c r="D19" s="20"/>
      <c r="E19" s="20"/>
      <c r="F19" s="20"/>
    </row>
    <row r="20" spans="1:6" ht="54" customHeight="1">
      <c r="A20" s="5"/>
      <c r="B20" s="20"/>
      <c r="C20" s="20"/>
      <c r="D20" s="20"/>
      <c r="E20" s="20"/>
      <c r="F20" s="20"/>
    </row>
    <row r="21" spans="1:6" ht="45" customHeight="1">
      <c r="A21" s="6" t="s">
        <v>65</v>
      </c>
      <c r="B21" s="20"/>
      <c r="C21" s="20"/>
      <c r="D21" s="20"/>
      <c r="E21" s="20"/>
      <c r="F21" s="20"/>
    </row>
    <row r="22" spans="1:6" ht="45" customHeight="1">
      <c r="A22" s="5"/>
      <c r="B22" s="20"/>
      <c r="C22" s="20"/>
      <c r="D22" s="20"/>
      <c r="E22" s="20"/>
      <c r="F22" s="20"/>
    </row>
    <row r="23" spans="1:6" ht="45" customHeight="1">
      <c r="A23" s="5"/>
      <c r="B23" s="20"/>
      <c r="C23" s="20"/>
      <c r="D23" s="20"/>
      <c r="E23" s="20"/>
      <c r="F23" s="20"/>
    </row>
    <row r="24" spans="1:6">
      <c r="A24" s="5"/>
      <c r="B24" s="5"/>
      <c r="C24" s="5"/>
      <c r="D24" s="5"/>
      <c r="E24" s="5"/>
      <c r="F24" s="5"/>
    </row>
    <row r="25" spans="1:6">
      <c r="A25" s="18" t="s">
        <v>66</v>
      </c>
      <c r="B25" s="18"/>
      <c r="C25" s="18"/>
      <c r="D25" s="18"/>
      <c r="E25" s="18"/>
      <c r="F25" s="18"/>
    </row>
    <row r="26" spans="1:6" ht="29.1" customHeight="1">
      <c r="A26" s="7" t="s">
        <v>19</v>
      </c>
      <c r="B26" s="7" t="s">
        <v>67</v>
      </c>
      <c r="C26" s="21" t="s">
        <v>68</v>
      </c>
      <c r="D26" s="21"/>
      <c r="E26" s="21"/>
      <c r="F26" s="21"/>
    </row>
    <row r="27" spans="1:6" ht="56.1" customHeight="1">
      <c r="A27" s="8" t="s">
        <v>24</v>
      </c>
      <c r="B27" s="9"/>
      <c r="C27" s="22" t="str" cm="1">
        <f t="array" ref="C27">IF(B27="","Esperando Puntación...",_xlfn.IFS(B27=0,'Guía y rúbrica'!B25,B27=1,'Guía y rúbrica'!C25,B27=2,'Guía y rúbrica'!D25,B27=3,'Guía y rúbrica'!E25,B27="N/E","No evaluable"))</f>
        <v>Esperando Puntación...</v>
      </c>
      <c r="D27" s="22"/>
      <c r="E27" s="22"/>
      <c r="F27" s="22"/>
    </row>
    <row r="28" spans="1:6" ht="56.1" customHeight="1">
      <c r="A28" s="10" t="s">
        <v>29</v>
      </c>
      <c r="B28" s="9"/>
      <c r="C28" s="22" t="str" cm="1">
        <f t="array" ref="C28">IF(B28="","Esperando Puntación...",_xlfn.IFS(B28=0,'Guía y rúbrica'!B26,B28=1,'Guía y rúbrica'!C26,B28=2,'Guía y rúbrica'!D26,B28=3,'Guía y rúbrica'!E26,B28="N/E","No evaluable"))</f>
        <v>Esperando Puntación...</v>
      </c>
      <c r="D28" s="22"/>
      <c r="E28" s="22"/>
      <c r="F28" s="22"/>
    </row>
    <row r="29" spans="1:6" ht="56.1" customHeight="1">
      <c r="A29" s="8" t="s">
        <v>34</v>
      </c>
      <c r="B29" s="9"/>
      <c r="C29" s="22" t="str" cm="1">
        <f t="array" ref="C29">IF(B29="","Esperando Puntación...",_xlfn.IFS(B29=0,'Guía y rúbrica'!B27,B29=1,'Guía y rúbrica'!C27,B29=2,'Guía y rúbrica'!D27,B29=3,'Guía y rúbrica'!E27,B29="N/E","No evaluable"))</f>
        <v>Esperando Puntación...</v>
      </c>
      <c r="D29" s="22"/>
      <c r="E29" s="22"/>
      <c r="F29" s="22"/>
    </row>
    <row r="30" spans="1:6" ht="56.1" customHeight="1">
      <c r="A30" s="10" t="s">
        <v>39</v>
      </c>
      <c r="B30" s="9"/>
      <c r="C30" s="22" t="str" cm="1">
        <f t="array" ref="C30">IF(B30="","Esperando Puntación...",_xlfn.IFS(B30=0,'Guía y rúbrica'!B28,B30=1,'Guía y rúbrica'!C28,B30=2,'Guía y rúbrica'!D28,B30=3,'Guía y rúbrica'!E28,B30="N/E","No evaluable"))</f>
        <v>Esperando Puntación...</v>
      </c>
      <c r="D30" s="22"/>
      <c r="E30" s="22"/>
      <c r="F30" s="22"/>
    </row>
    <row r="31" spans="1:6" ht="56.1" customHeight="1">
      <c r="A31" s="8" t="s">
        <v>44</v>
      </c>
      <c r="B31" s="9"/>
      <c r="C31" s="22" t="str" cm="1">
        <f t="array" ref="C31">IF(B31="","Esperando Puntación...",_xlfn.IFS(B31=0,'Guía y rúbrica'!B29,B31=1,'Guía y rúbrica'!C29,B31=2,'Guía y rúbrica'!D29,B31=3,'Guía y rúbrica'!E29,B31="N/E","No evaluable"))</f>
        <v>Esperando Puntación...</v>
      </c>
      <c r="D31" s="22"/>
      <c r="E31" s="22"/>
      <c r="F31" s="22"/>
    </row>
    <row r="32" spans="1:6" ht="56.1" customHeight="1">
      <c r="A32" s="10" t="s">
        <v>49</v>
      </c>
      <c r="B32" s="9"/>
      <c r="C32" s="22" t="str" cm="1">
        <f t="array" ref="C32">IF(B32="","Esperando Puntación...",_xlfn.IFS(B32=0,'Guía y rúbrica'!B30,B32=1,'Guía y rúbrica'!C30,B32=2,'Guía y rúbrica'!D30,B32=3,'Guía y rúbrica'!E30,B32="N/E","No evaluable"))</f>
        <v>Esperando Puntación...</v>
      </c>
      <c r="D32" s="22"/>
      <c r="E32" s="22"/>
      <c r="F32" s="22"/>
    </row>
    <row r="33" spans="1:6" ht="14.25">
      <c r="A33" s="5"/>
      <c r="B33" s="5"/>
      <c r="C33" s="5"/>
      <c r="D33" s="5"/>
      <c r="E33" s="5"/>
      <c r="F33" s="5"/>
    </row>
    <row r="34" spans="1:6" ht="24.95" customHeight="1">
      <c r="A34" s="6" t="s">
        <v>69</v>
      </c>
      <c r="B34" s="11" t="str">
        <f>IF(COUNT(B27:B32)=0,"",SUM(B27:B32))</f>
        <v/>
      </c>
      <c r="C34" s="22" t="s">
        <v>70</v>
      </c>
      <c r="D34" s="22"/>
      <c r="E34" s="22"/>
      <c r="F34" s="22"/>
    </row>
    <row r="35" spans="1:6" ht="24.95" customHeight="1">
      <c r="A35" s="6" t="s">
        <v>71</v>
      </c>
      <c r="B35" s="11" t="str">
        <f>IF(COUNT(B27:B32)=0,"",3*COUNT(B27:B32))</f>
        <v/>
      </c>
      <c r="C35" s="22"/>
      <c r="D35" s="22"/>
      <c r="E35" s="22"/>
      <c r="F35" s="22"/>
    </row>
    <row r="36" spans="1:6" ht="24.95" customHeight="1">
      <c r="A36" s="6" t="s">
        <v>72</v>
      </c>
      <c r="B36" s="12" t="str">
        <f>IF(OR(B35="",B35=0),"",B34/B35)</f>
        <v/>
      </c>
      <c r="C36" s="22"/>
      <c r="D36" s="22"/>
      <c r="E36" s="22"/>
      <c r="F36" s="22"/>
    </row>
    <row r="37" spans="1:6">
      <c r="A37" s="5"/>
      <c r="B37" s="5"/>
      <c r="C37" s="5"/>
      <c r="D37" s="5"/>
      <c r="E37" s="5"/>
      <c r="F37" s="5"/>
    </row>
    <row r="38" spans="1:6" ht="30.95" customHeight="1">
      <c r="A38" s="6" t="s">
        <v>73</v>
      </c>
      <c r="B38" s="20"/>
      <c r="C38" s="20"/>
      <c r="D38" s="20"/>
      <c r="E38" s="20"/>
      <c r="F38" s="20"/>
    </row>
    <row r="39" spans="1:6" ht="30.95" customHeight="1">
      <c r="A39" s="5"/>
      <c r="B39" s="20"/>
      <c r="C39" s="20"/>
      <c r="D39" s="20"/>
      <c r="E39" s="20"/>
      <c r="F39" s="20"/>
    </row>
    <row r="40" spans="1:6" ht="30.95" customHeight="1">
      <c r="A40" s="6" t="s">
        <v>74</v>
      </c>
      <c r="B40" s="20"/>
      <c r="C40" s="20"/>
      <c r="D40" s="20"/>
      <c r="E40" s="20"/>
      <c r="F40" s="20"/>
    </row>
    <row r="41" spans="1:6" ht="30.95" customHeight="1">
      <c r="A41" s="5"/>
      <c r="B41" s="20"/>
      <c r="C41" s="20"/>
      <c r="D41" s="20"/>
      <c r="E41" s="20"/>
      <c r="F41" s="20"/>
    </row>
    <row r="42" spans="1:6" ht="50.1" customHeight="1">
      <c r="A42" s="6" t="s">
        <v>75</v>
      </c>
      <c r="B42" s="20"/>
      <c r="C42" s="20"/>
      <c r="D42" s="20"/>
      <c r="E42" s="20"/>
      <c r="F42" s="20"/>
    </row>
    <row r="43" spans="1:6" ht="50.1" customHeight="1">
      <c r="A43" s="5"/>
      <c r="B43" s="20"/>
      <c r="C43" s="20"/>
      <c r="D43" s="20"/>
      <c r="E43" s="20"/>
      <c r="F43" s="20"/>
    </row>
    <row r="44" spans="1:6">
      <c r="A44" s="5"/>
      <c r="B44" s="5"/>
      <c r="C44" s="5"/>
      <c r="D44" s="5"/>
      <c r="E44" s="5"/>
      <c r="F44" s="5"/>
    </row>
    <row r="45" spans="1:6" ht="14.25"/>
    <row r="46" spans="1:6" ht="14.25"/>
    <row r="47" spans="1:6" ht="14.25"/>
    <row r="48" spans="1:6" ht="14.25"/>
  </sheetData>
  <mergeCells count="21">
    <mergeCell ref="B40:F41"/>
    <mergeCell ref="B42:F43"/>
    <mergeCell ref="C29:F29"/>
    <mergeCell ref="C30:F30"/>
    <mergeCell ref="C31:F31"/>
    <mergeCell ref="C32:F32"/>
    <mergeCell ref="C34:F36"/>
    <mergeCell ref="A25:F25"/>
    <mergeCell ref="C26:F26"/>
    <mergeCell ref="C27:F27"/>
    <mergeCell ref="C28:F28"/>
    <mergeCell ref="B38:F39"/>
    <mergeCell ref="B11:F12"/>
    <mergeCell ref="A16:F16"/>
    <mergeCell ref="B18:F20"/>
    <mergeCell ref="B21:F23"/>
    <mergeCell ref="A1:F2"/>
    <mergeCell ref="A3:F3"/>
    <mergeCell ref="A5:F5"/>
    <mergeCell ref="B7:F8"/>
    <mergeCell ref="B9:F10"/>
  </mergeCells>
  <dataValidations count="3">
    <dataValidation type="list" sqref="B27:B32" xr:uid="{00000000-0002-0000-0200-000000000000}">
      <formula1>"0,1,2,3,N/E"</formula1>
    </dataValidation>
    <dataValidation type="list" sqref="B38" xr:uid="{00000000-0002-0000-0200-000006000000}">
      <formula1>"Cumplido,Parcialmente cumplido,No cumplido,No evaluable"</formula1>
    </dataValidation>
    <dataValidation type="list" sqref="B40" xr:uid="{00000000-0002-0000-0200-000007000000}">
      <formula1>"Sí,No,Por determinar"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8"/>
  <sheetViews>
    <sheetView workbookViewId="0">
      <pane ySplit="3" topLeftCell="A26" activePane="bottomLeft" state="frozen"/>
      <selection pane="bottomLeft" activeCell="I32" sqref="I32"/>
    </sheetView>
  </sheetViews>
  <sheetFormatPr defaultRowHeight="15"/>
  <cols>
    <col min="1" max="1" width="36" customWidth="1"/>
    <col min="2" max="2" width="17" customWidth="1"/>
    <col min="3" max="6" width="18" customWidth="1"/>
  </cols>
  <sheetData>
    <row r="1" spans="1:6">
      <c r="A1" s="16" t="s">
        <v>80</v>
      </c>
      <c r="B1" s="16"/>
      <c r="C1" s="16"/>
      <c r="D1" s="16"/>
      <c r="E1" s="16"/>
      <c r="F1" s="16"/>
    </row>
    <row r="2" spans="1:6">
      <c r="A2" s="16"/>
      <c r="B2" s="16"/>
      <c r="C2" s="16"/>
      <c r="D2" s="16"/>
      <c r="E2" s="16"/>
      <c r="F2" s="16"/>
    </row>
    <row r="3" spans="1:6" ht="29.1" customHeight="1">
      <c r="A3" s="17" t="s">
        <v>55</v>
      </c>
      <c r="B3" s="17"/>
      <c r="C3" s="17"/>
      <c r="D3" s="17"/>
      <c r="E3" s="17"/>
      <c r="F3" s="17"/>
    </row>
    <row r="4" spans="1:6">
      <c r="A4" s="5"/>
      <c r="B4" s="5"/>
      <c r="C4" s="5"/>
      <c r="D4" s="5"/>
      <c r="E4" s="5"/>
      <c r="F4" s="5"/>
    </row>
    <row r="5" spans="1:6">
      <c r="A5" s="18" t="s">
        <v>56</v>
      </c>
      <c r="B5" s="18"/>
      <c r="C5" s="18"/>
      <c r="D5" s="18"/>
      <c r="E5" s="18"/>
      <c r="F5" s="18"/>
    </row>
    <row r="6" spans="1:6">
      <c r="A6" s="5"/>
      <c r="B6" s="5"/>
      <c r="C6" s="5"/>
      <c r="D6" s="5"/>
      <c r="E6" s="5"/>
      <c r="F6" s="5"/>
    </row>
    <row r="7" spans="1:6" ht="33" customHeight="1">
      <c r="A7" s="6" t="s">
        <v>57</v>
      </c>
      <c r="B7" s="19" t="s">
        <v>81</v>
      </c>
      <c r="C7" s="19"/>
      <c r="D7" s="19"/>
      <c r="E7" s="19"/>
      <c r="F7" s="19"/>
    </row>
    <row r="8" spans="1:6" ht="33" customHeight="1">
      <c r="A8" s="5"/>
      <c r="B8" s="19"/>
      <c r="C8" s="19"/>
      <c r="D8" s="19"/>
      <c r="E8" s="19"/>
      <c r="F8" s="19"/>
    </row>
    <row r="9" spans="1:6" ht="35.1" customHeight="1">
      <c r="A9" s="6" t="s">
        <v>59</v>
      </c>
      <c r="B9" s="19" t="s">
        <v>82</v>
      </c>
      <c r="C9" s="19"/>
      <c r="D9" s="19"/>
      <c r="E9" s="19"/>
      <c r="F9" s="19"/>
    </row>
    <row r="10" spans="1:6" ht="35.1" customHeight="1">
      <c r="A10" s="5"/>
      <c r="B10" s="19"/>
      <c r="C10" s="19"/>
      <c r="D10" s="19"/>
      <c r="E10" s="19"/>
      <c r="F10" s="19"/>
    </row>
    <row r="11" spans="1:6" ht="59.1" customHeight="1">
      <c r="A11" s="6" t="s">
        <v>61</v>
      </c>
      <c r="B11" s="19" t="s">
        <v>83</v>
      </c>
      <c r="C11" s="19"/>
      <c r="D11" s="19"/>
      <c r="E11" s="19"/>
      <c r="F11" s="19"/>
    </row>
    <row r="12" spans="1:6" ht="59.1" customHeight="1">
      <c r="A12" s="5"/>
      <c r="B12" s="19"/>
      <c r="C12" s="19"/>
      <c r="D12" s="19"/>
      <c r="E12" s="19"/>
      <c r="F12" s="19"/>
    </row>
    <row r="13" spans="1:6" ht="14.25">
      <c r="A13" s="5"/>
      <c r="B13" s="5"/>
      <c r="C13" s="5"/>
      <c r="D13" s="5"/>
      <c r="E13" s="5"/>
      <c r="F13" s="5"/>
    </row>
    <row r="14" spans="1:6" ht="14.25">
      <c r="A14" s="5"/>
      <c r="B14" s="5"/>
      <c r="C14" s="5"/>
      <c r="D14" s="5"/>
      <c r="E14" s="5"/>
      <c r="F14" s="5"/>
    </row>
    <row r="15" spans="1:6" ht="14.25">
      <c r="A15" s="5"/>
      <c r="B15" s="5"/>
      <c r="C15" s="5"/>
      <c r="D15" s="5"/>
      <c r="E15" s="5"/>
      <c r="F15" s="5"/>
    </row>
    <row r="16" spans="1:6">
      <c r="A16" s="18" t="s">
        <v>63</v>
      </c>
      <c r="B16" s="18"/>
      <c r="C16" s="18"/>
      <c r="D16" s="18"/>
      <c r="E16" s="18"/>
      <c r="F16" s="18"/>
    </row>
    <row r="17" spans="1:6">
      <c r="A17" s="5"/>
      <c r="B17" s="5"/>
      <c r="C17" s="5"/>
      <c r="D17" s="5"/>
      <c r="E17" s="5"/>
      <c r="F17" s="5"/>
    </row>
    <row r="18" spans="1:6" ht="54" customHeight="1">
      <c r="A18" s="6" t="s">
        <v>64</v>
      </c>
      <c r="B18" s="20"/>
      <c r="C18" s="20"/>
      <c r="D18" s="20"/>
      <c r="E18" s="20"/>
      <c r="F18" s="20"/>
    </row>
    <row r="19" spans="1:6" ht="54" customHeight="1">
      <c r="A19" s="5"/>
      <c r="B19" s="20"/>
      <c r="C19" s="20"/>
      <c r="D19" s="20"/>
      <c r="E19" s="20"/>
      <c r="F19" s="20"/>
    </row>
    <row r="20" spans="1:6" ht="54" customHeight="1">
      <c r="A20" s="5"/>
      <c r="B20" s="20"/>
      <c r="C20" s="20"/>
      <c r="D20" s="20"/>
      <c r="E20" s="20"/>
      <c r="F20" s="20"/>
    </row>
    <row r="21" spans="1:6" ht="45" customHeight="1">
      <c r="A21" s="6" t="s">
        <v>65</v>
      </c>
      <c r="B21" s="20"/>
      <c r="C21" s="20"/>
      <c r="D21" s="20"/>
      <c r="E21" s="20"/>
      <c r="F21" s="20"/>
    </row>
    <row r="22" spans="1:6" ht="45" customHeight="1">
      <c r="A22" s="5"/>
      <c r="B22" s="20"/>
      <c r="C22" s="20"/>
      <c r="D22" s="20"/>
      <c r="E22" s="20"/>
      <c r="F22" s="20"/>
    </row>
    <row r="23" spans="1:6" ht="45" customHeight="1">
      <c r="A23" s="5"/>
      <c r="B23" s="20"/>
      <c r="C23" s="20"/>
      <c r="D23" s="20"/>
      <c r="E23" s="20"/>
      <c r="F23" s="20"/>
    </row>
    <row r="24" spans="1:6">
      <c r="A24" s="5"/>
      <c r="B24" s="5"/>
      <c r="C24" s="5"/>
      <c r="D24" s="5"/>
      <c r="E24" s="5"/>
      <c r="F24" s="5"/>
    </row>
    <row r="25" spans="1:6">
      <c r="A25" s="18" t="s">
        <v>66</v>
      </c>
      <c r="B25" s="18"/>
      <c r="C25" s="18"/>
      <c r="D25" s="18"/>
      <c r="E25" s="18"/>
      <c r="F25" s="18"/>
    </row>
    <row r="26" spans="1:6" ht="29.1" customHeight="1">
      <c r="A26" s="7" t="s">
        <v>19</v>
      </c>
      <c r="B26" s="7" t="s">
        <v>67</v>
      </c>
      <c r="C26" s="21" t="s">
        <v>68</v>
      </c>
      <c r="D26" s="21"/>
      <c r="E26" s="21"/>
      <c r="F26" s="21"/>
    </row>
    <row r="27" spans="1:6" ht="56.1" customHeight="1">
      <c r="A27" s="8" t="s">
        <v>24</v>
      </c>
      <c r="B27" s="9"/>
      <c r="C27" s="22" t="str" cm="1">
        <f t="array" ref="C27">IF(B27="","Esperando Puntación...",_xlfn.IFS(B27=0,'Guía y rúbrica'!B25,B27=1,'Guía y rúbrica'!C25,B27=2,'Guía y rúbrica'!D25,B27=3,'Guía y rúbrica'!E25,B27="N/E","No evaluable"))</f>
        <v>Esperando Puntación...</v>
      </c>
      <c r="D27" s="22"/>
      <c r="E27" s="22"/>
      <c r="F27" s="22"/>
    </row>
    <row r="28" spans="1:6" ht="56.1" customHeight="1">
      <c r="A28" s="10" t="s">
        <v>29</v>
      </c>
      <c r="B28" s="9"/>
      <c r="C28" s="22" t="str" cm="1">
        <f t="array" ref="C28">IF(B28="","Esperando Puntación...",_xlfn.IFS(B28=0,'Guía y rúbrica'!B26,B28=1,'Guía y rúbrica'!C26,B28=2,'Guía y rúbrica'!D26,B28=3,'Guía y rúbrica'!E26,B28="N/E","No evaluable"))</f>
        <v>Esperando Puntación...</v>
      </c>
      <c r="D28" s="22"/>
      <c r="E28" s="22"/>
      <c r="F28" s="22"/>
    </row>
    <row r="29" spans="1:6" ht="56.1" customHeight="1">
      <c r="A29" s="8" t="s">
        <v>34</v>
      </c>
      <c r="B29" s="9"/>
      <c r="C29" s="22" t="str" cm="1">
        <f t="array" ref="C29">IF(B29="","Esperando Puntación...",_xlfn.IFS(B29=0,'Guía y rúbrica'!B27,B29=1,'Guía y rúbrica'!C27,B29=2,'Guía y rúbrica'!D27,B29=3,'Guía y rúbrica'!E27,B29="N/E","No evaluable"))</f>
        <v>Esperando Puntación...</v>
      </c>
      <c r="D29" s="22"/>
      <c r="E29" s="22"/>
      <c r="F29" s="22"/>
    </row>
    <row r="30" spans="1:6" ht="56.1" customHeight="1">
      <c r="A30" s="10" t="s">
        <v>39</v>
      </c>
      <c r="B30" s="9"/>
      <c r="C30" s="22" t="str" cm="1">
        <f t="array" ref="C30">IF(B30="","Esperando Puntación...",_xlfn.IFS(B30=0,'Guía y rúbrica'!B28,B30=1,'Guía y rúbrica'!C28,B30=2,'Guía y rúbrica'!D28,B30=3,'Guía y rúbrica'!E28,B30="N/E","No evaluable"))</f>
        <v>Esperando Puntación...</v>
      </c>
      <c r="D30" s="22"/>
      <c r="E30" s="22"/>
      <c r="F30" s="22"/>
    </row>
    <row r="31" spans="1:6" ht="56.1" customHeight="1">
      <c r="A31" s="8" t="s">
        <v>44</v>
      </c>
      <c r="B31" s="9"/>
      <c r="C31" s="22" t="str" cm="1">
        <f t="array" ref="C31">IF(B31="","Esperando Puntación...",_xlfn.IFS(B31=0,'Guía y rúbrica'!B29,B31=1,'Guía y rúbrica'!C29,B31=2,'Guía y rúbrica'!D29,B31=3,'Guía y rúbrica'!E29,B31="N/E","No evaluable"))</f>
        <v>Esperando Puntación...</v>
      </c>
      <c r="D31" s="22"/>
      <c r="E31" s="22"/>
      <c r="F31" s="22"/>
    </row>
    <row r="32" spans="1:6" ht="56.1" customHeight="1">
      <c r="A32" s="10" t="s">
        <v>49</v>
      </c>
      <c r="B32" s="9"/>
      <c r="C32" s="22" t="str" cm="1">
        <f t="array" ref="C32">IF(B32="","Esperando Puntación...",_xlfn.IFS(B32=0,'Guía y rúbrica'!B30,B32=1,'Guía y rúbrica'!C30,B32=2,'Guía y rúbrica'!D30,B32=3,'Guía y rúbrica'!E30,B32="N/E","No evaluable"))</f>
        <v>Esperando Puntación...</v>
      </c>
      <c r="D32" s="22"/>
      <c r="E32" s="22"/>
      <c r="F32" s="22"/>
    </row>
    <row r="33" spans="1:6" ht="14.25">
      <c r="A33" s="5"/>
      <c r="B33" s="5"/>
      <c r="C33" s="5"/>
      <c r="D33" s="5"/>
      <c r="E33" s="5"/>
      <c r="F33" s="5"/>
    </row>
    <row r="34" spans="1:6" ht="24.95" customHeight="1">
      <c r="A34" s="6" t="s">
        <v>69</v>
      </c>
      <c r="B34" s="11" t="str">
        <f>IF(COUNT(B27:B32)=0,"",SUM(B27:B32))</f>
        <v/>
      </c>
      <c r="C34" s="22" t="s">
        <v>70</v>
      </c>
      <c r="D34" s="22"/>
      <c r="E34" s="22"/>
      <c r="F34" s="22"/>
    </row>
    <row r="35" spans="1:6" ht="24.95" customHeight="1">
      <c r="A35" s="6" t="s">
        <v>71</v>
      </c>
      <c r="B35" s="11" t="str">
        <f>IF(COUNT(B27:B32)=0,"",3*COUNT(B27:B32))</f>
        <v/>
      </c>
      <c r="C35" s="22"/>
      <c r="D35" s="22"/>
      <c r="E35" s="22"/>
      <c r="F35" s="22"/>
    </row>
    <row r="36" spans="1:6" ht="24.95" customHeight="1">
      <c r="A36" s="6" t="s">
        <v>72</v>
      </c>
      <c r="B36" s="12" t="str">
        <f>IF(OR(B35="",B35=0),"",B34/B35)</f>
        <v/>
      </c>
      <c r="C36" s="22"/>
      <c r="D36" s="22"/>
      <c r="E36" s="22"/>
      <c r="F36" s="22"/>
    </row>
    <row r="37" spans="1:6">
      <c r="A37" s="5"/>
      <c r="B37" s="5"/>
      <c r="C37" s="5"/>
      <c r="D37" s="5"/>
      <c r="E37" s="5"/>
      <c r="F37" s="5"/>
    </row>
    <row r="38" spans="1:6" ht="30.95" customHeight="1">
      <c r="A38" s="6" t="s">
        <v>73</v>
      </c>
      <c r="B38" s="20"/>
      <c r="C38" s="20"/>
      <c r="D38" s="20"/>
      <c r="E38" s="20"/>
      <c r="F38" s="20"/>
    </row>
    <row r="39" spans="1:6" ht="30.95" customHeight="1">
      <c r="A39" s="5"/>
      <c r="B39" s="20"/>
      <c r="C39" s="20"/>
      <c r="D39" s="20"/>
      <c r="E39" s="20"/>
      <c r="F39" s="20"/>
    </row>
    <row r="40" spans="1:6" ht="30.95" customHeight="1">
      <c r="A40" s="6" t="s">
        <v>74</v>
      </c>
      <c r="B40" s="20"/>
      <c r="C40" s="20"/>
      <c r="D40" s="20"/>
      <c r="E40" s="20"/>
      <c r="F40" s="20"/>
    </row>
    <row r="41" spans="1:6" ht="30.95" customHeight="1">
      <c r="A41" s="5"/>
      <c r="B41" s="20"/>
      <c r="C41" s="20"/>
      <c r="D41" s="20"/>
      <c r="E41" s="20"/>
      <c r="F41" s="20"/>
    </row>
    <row r="42" spans="1:6" ht="50.1" customHeight="1">
      <c r="A42" s="6" t="s">
        <v>75</v>
      </c>
      <c r="B42" s="20"/>
      <c r="C42" s="20"/>
      <c r="D42" s="20"/>
      <c r="E42" s="20"/>
      <c r="F42" s="20"/>
    </row>
    <row r="43" spans="1:6" ht="50.1" customHeight="1">
      <c r="A43" s="5"/>
      <c r="B43" s="20"/>
      <c r="C43" s="20"/>
      <c r="D43" s="20"/>
      <c r="E43" s="20"/>
      <c r="F43" s="20"/>
    </row>
    <row r="44" spans="1:6">
      <c r="A44" s="5"/>
      <c r="B44" s="5"/>
      <c r="C44" s="5"/>
      <c r="D44" s="5"/>
      <c r="E44" s="5"/>
      <c r="F44" s="5"/>
    </row>
    <row r="45" spans="1:6" ht="14.25"/>
    <row r="46" spans="1:6" ht="14.25"/>
    <row r="47" spans="1:6" ht="14.25"/>
    <row r="48" spans="1:6" ht="14.25"/>
  </sheetData>
  <mergeCells count="21">
    <mergeCell ref="B40:F41"/>
    <mergeCell ref="B42:F43"/>
    <mergeCell ref="C29:F29"/>
    <mergeCell ref="C30:F30"/>
    <mergeCell ref="C31:F31"/>
    <mergeCell ref="C32:F32"/>
    <mergeCell ref="C34:F36"/>
    <mergeCell ref="A25:F25"/>
    <mergeCell ref="C26:F26"/>
    <mergeCell ref="C27:F27"/>
    <mergeCell ref="C28:F28"/>
    <mergeCell ref="B38:F39"/>
    <mergeCell ref="B11:F12"/>
    <mergeCell ref="A16:F16"/>
    <mergeCell ref="B18:F20"/>
    <mergeCell ref="B21:F23"/>
    <mergeCell ref="A1:F2"/>
    <mergeCell ref="A3:F3"/>
    <mergeCell ref="A5:F5"/>
    <mergeCell ref="B7:F8"/>
    <mergeCell ref="B9:F10"/>
  </mergeCells>
  <dataValidations count="3">
    <dataValidation type="list" sqref="B27:B32" xr:uid="{00000000-0002-0000-0300-000000000000}">
      <formula1>"0,1,2,3,N/E"</formula1>
    </dataValidation>
    <dataValidation type="list" sqref="B38" xr:uid="{00000000-0002-0000-0300-000006000000}">
      <formula1>"Cumplido,Parcialmente cumplido,No cumplido,No evaluable"</formula1>
    </dataValidation>
    <dataValidation type="list" sqref="B40" xr:uid="{00000000-0002-0000-0300-000007000000}">
      <formula1>"Sí,No,Por determinar"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tabSelected="1" workbookViewId="0">
      <pane ySplit="6" topLeftCell="A7" activePane="bottomLeft" state="frozen"/>
      <selection pane="bottomLeft" activeCell="A12" sqref="A12:XFD13"/>
    </sheetView>
  </sheetViews>
  <sheetFormatPr defaultRowHeight="15"/>
  <cols>
    <col min="1" max="1" width="17" customWidth="1"/>
    <col min="2" max="2" width="47" customWidth="1"/>
    <col min="3" max="7" width="23" customWidth="1"/>
  </cols>
  <sheetData>
    <row r="1" spans="1:7">
      <c r="A1" s="16" t="s">
        <v>84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4" spans="1:7" ht="30" customHeight="1">
      <c r="A4" s="25" t="s">
        <v>85</v>
      </c>
      <c r="B4" s="25"/>
      <c r="C4" s="25"/>
      <c r="D4" s="25"/>
      <c r="E4" s="25"/>
      <c r="F4" s="25"/>
      <c r="G4" s="25"/>
    </row>
    <row r="6" spans="1:7" ht="33" customHeight="1">
      <c r="A6" s="13" t="s">
        <v>86</v>
      </c>
      <c r="B6" s="13" t="s">
        <v>87</v>
      </c>
      <c r="C6" s="13" t="s">
        <v>88</v>
      </c>
      <c r="D6" s="13" t="s">
        <v>89</v>
      </c>
      <c r="E6" s="13" t="s">
        <v>90</v>
      </c>
      <c r="F6" s="13" t="s">
        <v>73</v>
      </c>
      <c r="G6" s="13" t="s">
        <v>91</v>
      </c>
    </row>
    <row r="7" spans="1:7" ht="42.95" customHeight="1">
      <c r="A7" s="3" t="s">
        <v>92</v>
      </c>
      <c r="B7" s="3" t="s">
        <v>58</v>
      </c>
      <c r="C7" s="3" t="str">
        <f>IF('DG-01'!B34="","",'DG-01'!B34)</f>
        <v/>
      </c>
      <c r="D7" s="3" t="str">
        <f>IF('DG-01'!B35="","",'DG-01'!B35)</f>
        <v/>
      </c>
      <c r="E7" s="14" t="str">
        <f>IF('DG-01'!B36="","",'DG-01'!B36)</f>
        <v/>
      </c>
      <c r="F7" s="3" t="str">
        <f>IF('DG-01'!B38="","",'DG-01'!B38)</f>
        <v/>
      </c>
      <c r="G7" s="3" t="str">
        <f>IF('DG-01'!B40="","",'DG-01'!B40)</f>
        <v/>
      </c>
    </row>
    <row r="8" spans="1:7" ht="42.95" customHeight="1">
      <c r="A8" s="4" t="s">
        <v>93</v>
      </c>
      <c r="B8" s="4" t="s">
        <v>77</v>
      </c>
      <c r="C8" s="4" t="str">
        <f>IF('DG-02'!B34="","",'DG-02'!B34)</f>
        <v/>
      </c>
      <c r="D8" s="4" t="str">
        <f>IF('DG-02'!B35="","",'DG-02'!B35)</f>
        <v/>
      </c>
      <c r="E8" s="15" t="str">
        <f>IF('DG-02'!B36="","",'DG-02'!B36)</f>
        <v/>
      </c>
      <c r="F8" s="4" t="str">
        <f>IF('DG-02'!B38="","",'DG-02'!B38)</f>
        <v/>
      </c>
      <c r="G8" s="4" t="str">
        <f>IF('DG-02'!B40="","",'DG-02'!B40)</f>
        <v/>
      </c>
    </row>
    <row r="9" spans="1:7" ht="42.95" customHeight="1">
      <c r="A9" s="3" t="s">
        <v>94</v>
      </c>
      <c r="B9" s="3" t="s">
        <v>81</v>
      </c>
      <c r="C9" s="3" t="str">
        <f>IF('DG-03'!B34="","",'DG-03'!B34)</f>
        <v/>
      </c>
      <c r="D9" s="3" t="str">
        <f>IF('DG-03'!B35="","",'DG-03'!B35)</f>
        <v/>
      </c>
      <c r="E9" s="14" t="str">
        <f>IF('DG-03'!B36="","",'DG-03'!B36)</f>
        <v/>
      </c>
      <c r="F9" s="3" t="str">
        <f>IF('DG-03'!B38="","",'DG-03'!B38)</f>
        <v/>
      </c>
      <c r="G9" s="3" t="str">
        <f>IF('DG-03'!B40="","",'DG-03'!B40)</f>
        <v/>
      </c>
    </row>
    <row r="11" spans="1:7" ht="14.25"/>
    <row r="12" spans="1:7" ht="14.25"/>
    <row r="13" spans="1:7" ht="14.25"/>
    <row r="14" spans="1:7" ht="14.25"/>
  </sheetData>
  <mergeCells count="2">
    <mergeCell ref="A1:G2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Nelson Alvarez</cp:lastModifiedBy>
  <cp:revision/>
  <dcterms:created xsi:type="dcterms:W3CDTF">2026-10-17T23:04:23Z</dcterms:created>
  <dcterms:modified xsi:type="dcterms:W3CDTF">2026-10-18T19:58:32Z</dcterms:modified>
  <cp:category/>
  <cp:contentStatus/>
</cp:coreProperties>
</file>